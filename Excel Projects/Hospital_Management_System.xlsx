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asha\OneDrive\Desktop\Projects Summer Training\"/>
    </mc:Choice>
  </mc:AlternateContent>
  <xr:revisionPtr revIDLastSave="0" documentId="13_ncr:1_{41B70402-4BF7-49E6-AD8C-A3F6448C821B}" xr6:coauthVersionLast="47" xr6:coauthVersionMax="47" xr10:uidLastSave="{00000000-0000-0000-0000-000000000000}"/>
  <bookViews>
    <workbookView xWindow="-108" yWindow="-108" windowWidth="23256" windowHeight="13176" firstSheet="4" activeTab="8" xr2:uid="{00000000-000D-0000-FFFF-FFFF00000000}"/>
  </bookViews>
  <sheets>
    <sheet name="Hospital_Data" sheetId="1" r:id="rId1"/>
    <sheet name="Lists" sheetId="2" r:id="rId2"/>
    <sheet name="Hospital_Datasheet" sheetId="5" r:id="rId3"/>
    <sheet name="Disease Analysis" sheetId="6" r:id="rId4"/>
    <sheet name="Doctor-wise Patients" sheetId="16" r:id="rId5"/>
    <sheet name="Revenue By Doctor" sheetId="19" r:id="rId6"/>
    <sheet name="Gender Distribution" sheetId="18" r:id="rId7"/>
    <sheet name="Monthly Admissions" sheetId="13" r:id="rId8"/>
    <sheet name="Dashboard" sheetId="4" r:id="rId9"/>
  </sheets>
  <definedNames>
    <definedName name="Slicer_Disease">#N/A</definedName>
    <definedName name="Slicer_Doctor">#N/A</definedName>
    <definedName name="Slicer_Gender">#N/A</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4" l="1"/>
  <c r="C5" i="4"/>
  <c r="D5" i="4"/>
  <c r="E5" i="4"/>
  <c r="F5" i="4"/>
  <c r="G5" i="4"/>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2" i="5"/>
</calcChain>
</file>

<file path=xl/sharedStrings.xml><?xml version="1.0" encoding="utf-8"?>
<sst xmlns="http://schemas.openxmlformats.org/spreadsheetml/2006/main" count="10107" uniqueCount="1207">
  <si>
    <t>Patient ID</t>
  </si>
  <si>
    <t>Name</t>
  </si>
  <si>
    <t>Age</t>
  </si>
  <si>
    <t>Gender</t>
  </si>
  <si>
    <t>Disease</t>
  </si>
  <si>
    <t>Doctor</t>
  </si>
  <si>
    <t>Admission Date</t>
  </si>
  <si>
    <t>Discharge Date</t>
  </si>
  <si>
    <t>Stay Days</t>
  </si>
  <si>
    <t>Bill</t>
  </si>
  <si>
    <t>P0001</t>
  </si>
  <si>
    <t>Kiran Khan</t>
  </si>
  <si>
    <t>Male</t>
  </si>
  <si>
    <t>Migraine</t>
  </si>
  <si>
    <t>Dr. Khan</t>
  </si>
  <si>
    <t>P0002</t>
  </si>
  <si>
    <t>Arjun Rather</t>
  </si>
  <si>
    <t>Female</t>
  </si>
  <si>
    <t>Kidney Stone</t>
  </si>
  <si>
    <t>Dr. Kapoor</t>
  </si>
  <si>
    <t>P0003</t>
  </si>
  <si>
    <t>Priya Verma</t>
  </si>
  <si>
    <t>Diabetes</t>
  </si>
  <si>
    <t>Dr. Mehta</t>
  </si>
  <si>
    <t>P0004</t>
  </si>
  <si>
    <t>Imran Khan</t>
  </si>
  <si>
    <t>Heart Disease</t>
  </si>
  <si>
    <t>Dr. Verma</t>
  </si>
  <si>
    <t>P0005</t>
  </si>
  <si>
    <t>Kiran Rather</t>
  </si>
  <si>
    <t>Dengue</t>
  </si>
  <si>
    <t>P0006</t>
  </si>
  <si>
    <t>Priya Sharma</t>
  </si>
  <si>
    <t>Covid-19</t>
  </si>
  <si>
    <t>Dr. Sharma</t>
  </si>
  <si>
    <t>P0007</t>
  </si>
  <si>
    <t>Rohit Malik</t>
  </si>
  <si>
    <t>P0008</t>
  </si>
  <si>
    <t>Arjun Khan</t>
  </si>
  <si>
    <t>Pneumonia</t>
  </si>
  <si>
    <t>P0009</t>
  </si>
  <si>
    <t>Arjun Kumar</t>
  </si>
  <si>
    <t>Dr. Gupta</t>
  </si>
  <si>
    <t>P0010</t>
  </si>
  <si>
    <t>Priya Ali</t>
  </si>
  <si>
    <t>Asthma</t>
  </si>
  <si>
    <t>P0011</t>
  </si>
  <si>
    <t>Priya Malik</t>
  </si>
  <si>
    <t>Fever</t>
  </si>
  <si>
    <t>P0012</t>
  </si>
  <si>
    <t>Priya Kapoor</t>
  </si>
  <si>
    <t>P0013</t>
  </si>
  <si>
    <t>Imran Kapoor</t>
  </si>
  <si>
    <t>P0014</t>
  </si>
  <si>
    <t>Rahul Ali</t>
  </si>
  <si>
    <t>P0015</t>
  </si>
  <si>
    <t>Mehak Malik</t>
  </si>
  <si>
    <t>P0016</t>
  </si>
  <si>
    <t>Zara Gupta</t>
  </si>
  <si>
    <t>Dr. Ali</t>
  </si>
  <si>
    <t>P0017</t>
  </si>
  <si>
    <t>Imran Verma</t>
  </si>
  <si>
    <t>Dr. Singh</t>
  </si>
  <si>
    <t>P0018</t>
  </si>
  <si>
    <t>Pooja Kumar</t>
  </si>
  <si>
    <t>P0019</t>
  </si>
  <si>
    <t>Priya Gupta</t>
  </si>
  <si>
    <t>P0020</t>
  </si>
  <si>
    <t>Mehak Ali</t>
  </si>
  <si>
    <t>P0021</t>
  </si>
  <si>
    <t>Sara Verma</t>
  </si>
  <si>
    <t>P0022</t>
  </si>
  <si>
    <t>Adil Verma</t>
  </si>
  <si>
    <t>P0023</t>
  </si>
  <si>
    <t>Zara Sharma</t>
  </si>
  <si>
    <t>P0024</t>
  </si>
  <si>
    <t>Pooja Rather</t>
  </si>
  <si>
    <t>P0025</t>
  </si>
  <si>
    <t>Neha Kumar</t>
  </si>
  <si>
    <t>P0026</t>
  </si>
  <si>
    <t>P0027</t>
  </si>
  <si>
    <t>P0028</t>
  </si>
  <si>
    <t>Anita Khan</t>
  </si>
  <si>
    <t>P0029</t>
  </si>
  <si>
    <t>Zara Singh</t>
  </si>
  <si>
    <t>P0030</t>
  </si>
  <si>
    <t>Priya Rather</t>
  </si>
  <si>
    <t>P0031</t>
  </si>
  <si>
    <t>P0032</t>
  </si>
  <si>
    <t>Rohit Ali</t>
  </si>
  <si>
    <t>P0033</t>
  </si>
  <si>
    <t>Imran Kumar</t>
  </si>
  <si>
    <t>P0034</t>
  </si>
  <si>
    <t>Zara Malik</t>
  </si>
  <si>
    <t>P0035</t>
  </si>
  <si>
    <t>P0036</t>
  </si>
  <si>
    <t>Rahul Singh</t>
  </si>
  <si>
    <t>P0037</t>
  </si>
  <si>
    <t>Anita Ali</t>
  </si>
  <si>
    <t>P0038</t>
  </si>
  <si>
    <t>Anita Gupta</t>
  </si>
  <si>
    <t>P0039</t>
  </si>
  <si>
    <t>Hypertension</t>
  </si>
  <si>
    <t>P0040</t>
  </si>
  <si>
    <t>Sara Ali</t>
  </si>
  <si>
    <t>P0041</t>
  </si>
  <si>
    <t>P0042</t>
  </si>
  <si>
    <t>Vikas Khan</t>
  </si>
  <si>
    <t>P0043</t>
  </si>
  <si>
    <t>Arjun Singh</t>
  </si>
  <si>
    <t>P0044</t>
  </si>
  <si>
    <t>P0045</t>
  </si>
  <si>
    <t>Mehak Sharma</t>
  </si>
  <si>
    <t>P0046</t>
  </si>
  <si>
    <t>Aman Ali</t>
  </si>
  <si>
    <t>P0047</t>
  </si>
  <si>
    <t>Neha Ali</t>
  </si>
  <si>
    <t>P0048</t>
  </si>
  <si>
    <t>Anita Singh</t>
  </si>
  <si>
    <t>P0049</t>
  </si>
  <si>
    <t>Imran Malik</t>
  </si>
  <si>
    <t>P0050</t>
  </si>
  <si>
    <t>P0051</t>
  </si>
  <si>
    <t>Imran Rather</t>
  </si>
  <si>
    <t>P0052</t>
  </si>
  <si>
    <t>Rahul Rather</t>
  </si>
  <si>
    <t>P0053</t>
  </si>
  <si>
    <t>Sara Malik</t>
  </si>
  <si>
    <t>P0054</t>
  </si>
  <si>
    <t>P0055</t>
  </si>
  <si>
    <t>Zara Kumar</t>
  </si>
  <si>
    <t>P0056</t>
  </si>
  <si>
    <t>Priya Kumar</t>
  </si>
  <si>
    <t>P0057</t>
  </si>
  <si>
    <t>Kiran Malik</t>
  </si>
  <si>
    <t>P0058</t>
  </si>
  <si>
    <t>P0059</t>
  </si>
  <si>
    <t>Adil Malik</t>
  </si>
  <si>
    <t>P0060</t>
  </si>
  <si>
    <t>Neha Sharma</t>
  </si>
  <si>
    <t>P0061</t>
  </si>
  <si>
    <t>P0062</t>
  </si>
  <si>
    <t>Rohit Gupta</t>
  </si>
  <si>
    <t>P0063</t>
  </si>
  <si>
    <t>Zara Rather</t>
  </si>
  <si>
    <t>P0064</t>
  </si>
  <si>
    <t>Anita Sharma</t>
  </si>
  <si>
    <t>P0065</t>
  </si>
  <si>
    <t>Adil Kapoor</t>
  </si>
  <si>
    <t>P0066</t>
  </si>
  <si>
    <t>P0067</t>
  </si>
  <si>
    <t>Rohit Kapoor</t>
  </si>
  <si>
    <t>P0068</t>
  </si>
  <si>
    <t>P0069</t>
  </si>
  <si>
    <t>Anita Kapoor</t>
  </si>
  <si>
    <t>P0070</t>
  </si>
  <si>
    <t>Kiran Sharma</t>
  </si>
  <si>
    <t>P0071</t>
  </si>
  <si>
    <t>Sara Gupta</t>
  </si>
  <si>
    <t>P0072</t>
  </si>
  <si>
    <t>Vikas Kumar</t>
  </si>
  <si>
    <t>P0073</t>
  </si>
  <si>
    <t>Vikas Rather</t>
  </si>
  <si>
    <t>P0074</t>
  </si>
  <si>
    <t>Imran Singh</t>
  </si>
  <si>
    <t>P0075</t>
  </si>
  <si>
    <t>P0076</t>
  </si>
  <si>
    <t>P0077</t>
  </si>
  <si>
    <t>Imran Ali</t>
  </si>
  <si>
    <t>P0078</t>
  </si>
  <si>
    <t>P0079</t>
  </si>
  <si>
    <t>Pooja Singh</t>
  </si>
  <si>
    <t>P0080</t>
  </si>
  <si>
    <t>P0081</t>
  </si>
  <si>
    <t>P0082</t>
  </si>
  <si>
    <t>P0083</t>
  </si>
  <si>
    <t>Sara Rather</t>
  </si>
  <si>
    <t>P0084</t>
  </si>
  <si>
    <t>Sara Sharma</t>
  </si>
  <si>
    <t>P0085</t>
  </si>
  <si>
    <t>P0086</t>
  </si>
  <si>
    <t>Adil Kumar</t>
  </si>
  <si>
    <t>P0087</t>
  </si>
  <si>
    <t>P0088</t>
  </si>
  <si>
    <t>P0089</t>
  </si>
  <si>
    <t>Kiran Kumar</t>
  </si>
  <si>
    <t>P0090</t>
  </si>
  <si>
    <t>Pooja Sharma</t>
  </si>
  <si>
    <t>P0091</t>
  </si>
  <si>
    <t>Rahul Kumar</t>
  </si>
  <si>
    <t>P0092</t>
  </si>
  <si>
    <t>Rahul Kapoor</t>
  </si>
  <si>
    <t>P0093</t>
  </si>
  <si>
    <t>P0094</t>
  </si>
  <si>
    <t>P0095</t>
  </si>
  <si>
    <t>P0096</t>
  </si>
  <si>
    <t>Mehak Rather</t>
  </si>
  <si>
    <t>P0097</t>
  </si>
  <si>
    <t>P0098</t>
  </si>
  <si>
    <t>Mehak Verma</t>
  </si>
  <si>
    <t>P0099</t>
  </si>
  <si>
    <t>Mehak Khan</t>
  </si>
  <si>
    <t>P0100</t>
  </si>
  <si>
    <t>Aman Rather</t>
  </si>
  <si>
    <t>P0101</t>
  </si>
  <si>
    <t>P0102</t>
  </si>
  <si>
    <t>P0103</t>
  </si>
  <si>
    <t>Arjun Malik</t>
  </si>
  <si>
    <t>P0104</t>
  </si>
  <si>
    <t>Vikas Singh</t>
  </si>
  <si>
    <t>P0105</t>
  </si>
  <si>
    <t>Kiran Gupta</t>
  </si>
  <si>
    <t>P0106</t>
  </si>
  <si>
    <t>P0107</t>
  </si>
  <si>
    <t>P0108</t>
  </si>
  <si>
    <t>P0109</t>
  </si>
  <si>
    <t>P0110</t>
  </si>
  <si>
    <t>Pooja Ali</t>
  </si>
  <si>
    <t>P0111</t>
  </si>
  <si>
    <t>P0112</t>
  </si>
  <si>
    <t>Sara Khan</t>
  </si>
  <si>
    <t>P0113</t>
  </si>
  <si>
    <t>P0114</t>
  </si>
  <si>
    <t>P0115</t>
  </si>
  <si>
    <t>P0116</t>
  </si>
  <si>
    <t>P0117</t>
  </si>
  <si>
    <t>P0118</t>
  </si>
  <si>
    <t>P0119</t>
  </si>
  <si>
    <t>P0120</t>
  </si>
  <si>
    <t>P0121</t>
  </si>
  <si>
    <t>P0122</t>
  </si>
  <si>
    <t>Vikas Ali</t>
  </si>
  <si>
    <t>P0123</t>
  </si>
  <si>
    <t>P0124</t>
  </si>
  <si>
    <t>P0125</t>
  </si>
  <si>
    <t>P0126</t>
  </si>
  <si>
    <t>Aman Kumar</t>
  </si>
  <si>
    <t>P0127</t>
  </si>
  <si>
    <t>Arjun Kapoor</t>
  </si>
  <si>
    <t>P0128</t>
  </si>
  <si>
    <t>P0129</t>
  </si>
  <si>
    <t>Adil Rather</t>
  </si>
  <si>
    <t>P0130</t>
  </si>
  <si>
    <t>P0131</t>
  </si>
  <si>
    <t>P0132</t>
  </si>
  <si>
    <t>Rahul Gupta</t>
  </si>
  <si>
    <t>P0133</t>
  </si>
  <si>
    <t>Mehak Gupta</t>
  </si>
  <si>
    <t>P0134</t>
  </si>
  <si>
    <t>Aman Khan</t>
  </si>
  <si>
    <t>P0135</t>
  </si>
  <si>
    <t>Mehak Kumar</t>
  </si>
  <si>
    <t>P0136</t>
  </si>
  <si>
    <t>P0137</t>
  </si>
  <si>
    <t>P0138</t>
  </si>
  <si>
    <t>P0139</t>
  </si>
  <si>
    <t>Anita Malik</t>
  </si>
  <si>
    <t>P0140</t>
  </si>
  <si>
    <t>P0141</t>
  </si>
  <si>
    <t>Kiran Verma</t>
  </si>
  <si>
    <t>P0142</t>
  </si>
  <si>
    <t>P0143</t>
  </si>
  <si>
    <t>P0144</t>
  </si>
  <si>
    <t>P0145</t>
  </si>
  <si>
    <t>Mehak Kapoor</t>
  </si>
  <si>
    <t>P0146</t>
  </si>
  <si>
    <t>P0147</t>
  </si>
  <si>
    <t>Arjun Ali</t>
  </si>
  <si>
    <t>P0148</t>
  </si>
  <si>
    <t>P0149</t>
  </si>
  <si>
    <t>P0150</t>
  </si>
  <si>
    <t>P0151</t>
  </si>
  <si>
    <t>P0152</t>
  </si>
  <si>
    <t>Imran Gupta</t>
  </si>
  <si>
    <t>P0153</t>
  </si>
  <si>
    <t>Neha Gupta</t>
  </si>
  <si>
    <t>P0154</t>
  </si>
  <si>
    <t>P0155</t>
  </si>
  <si>
    <t>P0156</t>
  </si>
  <si>
    <t>P0157</t>
  </si>
  <si>
    <t>P0158</t>
  </si>
  <si>
    <t>P0159</t>
  </si>
  <si>
    <t>P0160</t>
  </si>
  <si>
    <t>Sara Kapoor</t>
  </si>
  <si>
    <t>P0161</t>
  </si>
  <si>
    <t>P0162</t>
  </si>
  <si>
    <t>P0163</t>
  </si>
  <si>
    <t>P0164</t>
  </si>
  <si>
    <t>Neha Kapoor</t>
  </si>
  <si>
    <t>P0165</t>
  </si>
  <si>
    <t>P0166</t>
  </si>
  <si>
    <t>P0167</t>
  </si>
  <si>
    <t>P0168</t>
  </si>
  <si>
    <t>P0169</t>
  </si>
  <si>
    <t>Pooja Verma</t>
  </si>
  <si>
    <t>P0170</t>
  </si>
  <si>
    <t>P0171</t>
  </si>
  <si>
    <t>Vikas Sharma</t>
  </si>
  <si>
    <t>P0172</t>
  </si>
  <si>
    <t>P0173</t>
  </si>
  <si>
    <t>P0174</t>
  </si>
  <si>
    <t>Mehak Singh</t>
  </si>
  <si>
    <t>P0175</t>
  </si>
  <si>
    <t>Kiran Kapoor</t>
  </si>
  <si>
    <t>P0176</t>
  </si>
  <si>
    <t>P0177</t>
  </si>
  <si>
    <t>Neha Singh</t>
  </si>
  <si>
    <t>P0178</t>
  </si>
  <si>
    <t>Pooja Gupta</t>
  </si>
  <si>
    <t>P0179</t>
  </si>
  <si>
    <t>P0180</t>
  </si>
  <si>
    <t>P0181</t>
  </si>
  <si>
    <t>Vikas Verma</t>
  </si>
  <si>
    <t>P0182</t>
  </si>
  <si>
    <t>P0183</t>
  </si>
  <si>
    <t>P0184</t>
  </si>
  <si>
    <t>P0185</t>
  </si>
  <si>
    <t>P0186</t>
  </si>
  <si>
    <t>P0187</t>
  </si>
  <si>
    <t>P0188</t>
  </si>
  <si>
    <t>P0189</t>
  </si>
  <si>
    <t>P0190</t>
  </si>
  <si>
    <t>Vikas Malik</t>
  </si>
  <si>
    <t>P0191</t>
  </si>
  <si>
    <t>P0192</t>
  </si>
  <si>
    <t>Rahul Malik</t>
  </si>
  <si>
    <t>P0193</t>
  </si>
  <si>
    <t>P0194</t>
  </si>
  <si>
    <t>P0195</t>
  </si>
  <si>
    <t>P0196</t>
  </si>
  <si>
    <t>Adil Sharma</t>
  </si>
  <si>
    <t>P0197</t>
  </si>
  <si>
    <t>P0198</t>
  </si>
  <si>
    <t>P0199</t>
  </si>
  <si>
    <t>Zara Ali</t>
  </si>
  <si>
    <t>P0200</t>
  </si>
  <si>
    <t>P0201</t>
  </si>
  <si>
    <t>P0202</t>
  </si>
  <si>
    <t>P0203</t>
  </si>
  <si>
    <t>P0204</t>
  </si>
  <si>
    <t>P0205</t>
  </si>
  <si>
    <t>Zara Khan</t>
  </si>
  <si>
    <t>P0206</t>
  </si>
  <si>
    <t>Arjun Gupta</t>
  </si>
  <si>
    <t>P0207</t>
  </si>
  <si>
    <t>Aman Sharma</t>
  </si>
  <si>
    <t>P0208</t>
  </si>
  <si>
    <t>P0209</t>
  </si>
  <si>
    <t>P0210</t>
  </si>
  <si>
    <t>P0211</t>
  </si>
  <si>
    <t>P0212</t>
  </si>
  <si>
    <t>P0213</t>
  </si>
  <si>
    <t>P0214</t>
  </si>
  <si>
    <t>Priya Khan</t>
  </si>
  <si>
    <t>P0215</t>
  </si>
  <si>
    <t>P0216</t>
  </si>
  <si>
    <t>P0217</t>
  </si>
  <si>
    <t>P0218</t>
  </si>
  <si>
    <t>P0219</t>
  </si>
  <si>
    <t>P0220</t>
  </si>
  <si>
    <t>P0221</t>
  </si>
  <si>
    <t>Anita Verma</t>
  </si>
  <si>
    <t>P0222</t>
  </si>
  <si>
    <t>P0223</t>
  </si>
  <si>
    <t>P0224</t>
  </si>
  <si>
    <t>P0225</t>
  </si>
  <si>
    <t>Priya Singh</t>
  </si>
  <si>
    <t>P0226</t>
  </si>
  <si>
    <t>P0227</t>
  </si>
  <si>
    <t>P0228</t>
  </si>
  <si>
    <t>P0229</t>
  </si>
  <si>
    <t>Rohit Rather</t>
  </si>
  <si>
    <t>P0230</t>
  </si>
  <si>
    <t>P0231</t>
  </si>
  <si>
    <t>P0232</t>
  </si>
  <si>
    <t>Arjun Sharma</t>
  </si>
  <si>
    <t>P0233</t>
  </si>
  <si>
    <t>Aman Verma</t>
  </si>
  <si>
    <t>P0234</t>
  </si>
  <si>
    <t>Aman Malik</t>
  </si>
  <si>
    <t>P0235</t>
  </si>
  <si>
    <t>Aman Gupta</t>
  </si>
  <si>
    <t>P0236</t>
  </si>
  <si>
    <t>P0237</t>
  </si>
  <si>
    <t>P0238</t>
  </si>
  <si>
    <t>P0239</t>
  </si>
  <si>
    <t>P0240</t>
  </si>
  <si>
    <t>P0241</t>
  </si>
  <si>
    <t>P0242</t>
  </si>
  <si>
    <t>P0243</t>
  </si>
  <si>
    <t>Imran Sharma</t>
  </si>
  <si>
    <t>P0244</t>
  </si>
  <si>
    <t>P0245</t>
  </si>
  <si>
    <t>P0246</t>
  </si>
  <si>
    <t>Rohit Khan</t>
  </si>
  <si>
    <t>P0247</t>
  </si>
  <si>
    <t>P0248</t>
  </si>
  <si>
    <t>Rohit Sharma</t>
  </si>
  <si>
    <t>P0249</t>
  </si>
  <si>
    <t>P0250</t>
  </si>
  <si>
    <t>P0251</t>
  </si>
  <si>
    <t>P0252</t>
  </si>
  <si>
    <t>P0253</t>
  </si>
  <si>
    <t>P0254</t>
  </si>
  <si>
    <t>P0255</t>
  </si>
  <si>
    <t>P0256</t>
  </si>
  <si>
    <t>P0257</t>
  </si>
  <si>
    <t>P0258</t>
  </si>
  <si>
    <t>P0259</t>
  </si>
  <si>
    <t>Rohit Singh</t>
  </si>
  <si>
    <t>P0260</t>
  </si>
  <si>
    <t>Anita Kumar</t>
  </si>
  <si>
    <t>P0261</t>
  </si>
  <si>
    <t>P0262</t>
  </si>
  <si>
    <t>P0263</t>
  </si>
  <si>
    <t>P0264</t>
  </si>
  <si>
    <t>P0265</t>
  </si>
  <si>
    <t>P0266</t>
  </si>
  <si>
    <t>P0267</t>
  </si>
  <si>
    <t>Rahul Sharma</t>
  </si>
  <si>
    <t>P0268</t>
  </si>
  <si>
    <t>P0269</t>
  </si>
  <si>
    <t>P0270</t>
  </si>
  <si>
    <t>P0271</t>
  </si>
  <si>
    <t>P0272</t>
  </si>
  <si>
    <t>P0273</t>
  </si>
  <si>
    <t>Neha Malik</t>
  </si>
  <si>
    <t>P0274</t>
  </si>
  <si>
    <t>Zara Kapoor</t>
  </si>
  <si>
    <t>P0275</t>
  </si>
  <si>
    <t>P0276</t>
  </si>
  <si>
    <t>Zara Verma</t>
  </si>
  <si>
    <t>P0277</t>
  </si>
  <si>
    <t>P0278</t>
  </si>
  <si>
    <t>P0279</t>
  </si>
  <si>
    <t>Vikas Gupta</t>
  </si>
  <si>
    <t>P0280</t>
  </si>
  <si>
    <t>P0281</t>
  </si>
  <si>
    <t>P0282</t>
  </si>
  <si>
    <t>P0283</t>
  </si>
  <si>
    <t>P0284</t>
  </si>
  <si>
    <t>P0285</t>
  </si>
  <si>
    <t>P0286</t>
  </si>
  <si>
    <t>P0287</t>
  </si>
  <si>
    <t>P0288</t>
  </si>
  <si>
    <t>Adil Ali</t>
  </si>
  <si>
    <t>P0289</t>
  </si>
  <si>
    <t>P0290</t>
  </si>
  <si>
    <t>P0291</t>
  </si>
  <si>
    <t>P0292</t>
  </si>
  <si>
    <t>P0293</t>
  </si>
  <si>
    <t>P0294</t>
  </si>
  <si>
    <t>P0295</t>
  </si>
  <si>
    <t>P0296</t>
  </si>
  <si>
    <t>P0297</t>
  </si>
  <si>
    <t>Pooja Malik</t>
  </si>
  <si>
    <t>P0298</t>
  </si>
  <si>
    <t>P0299</t>
  </si>
  <si>
    <t>P0300</t>
  </si>
  <si>
    <t>P0301</t>
  </si>
  <si>
    <t>P0302</t>
  </si>
  <si>
    <t>Kiran Singh</t>
  </si>
  <si>
    <t>P0303</t>
  </si>
  <si>
    <t>P0304</t>
  </si>
  <si>
    <t>Arjun Verma</t>
  </si>
  <si>
    <t>P0305</t>
  </si>
  <si>
    <t>P0306</t>
  </si>
  <si>
    <t>Vikas Kapoor</t>
  </si>
  <si>
    <t>P0307</t>
  </si>
  <si>
    <t>P0308</t>
  </si>
  <si>
    <t>P0309</t>
  </si>
  <si>
    <t>Aman Singh</t>
  </si>
  <si>
    <t>P0310</t>
  </si>
  <si>
    <t>P0311</t>
  </si>
  <si>
    <t>P0312</t>
  </si>
  <si>
    <t>Sara Kumar</t>
  </si>
  <si>
    <t>P0313</t>
  </si>
  <si>
    <t>P0314</t>
  </si>
  <si>
    <t>P0315</t>
  </si>
  <si>
    <t>P0316</t>
  </si>
  <si>
    <t>P0317</t>
  </si>
  <si>
    <t>Adil Gupta</t>
  </si>
  <si>
    <t>P0318</t>
  </si>
  <si>
    <t>P0319</t>
  </si>
  <si>
    <t>Adil Singh</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</si>
  <si>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</si>
  <si>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</si>
  <si>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</si>
  <si>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</si>
  <si>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</si>
  <si>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</si>
  <si>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</si>
  <si>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</si>
  <si>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</si>
  <si>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</si>
  <si>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</si>
  <si>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</si>
  <si>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</si>
  <si>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</si>
  <si>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</si>
  <si>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</si>
  <si>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</si>
  <si>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</si>
  <si>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</si>
  <si>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</si>
  <si>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</si>
  <si>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</si>
  <si>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</si>
  <si>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</si>
  <si>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</si>
  <si>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</si>
  <si>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</si>
  <si>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</si>
  <si>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</si>
  <si>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</si>
  <si>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</si>
  <si>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</si>
  <si>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</si>
  <si>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</si>
  <si>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</si>
  <si>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</si>
  <si>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</si>
  <si>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</si>
  <si>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</si>
  <si>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</si>
  <si>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</si>
  <si>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</si>
  <si>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</si>
  <si>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</si>
  <si>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</si>
  <si>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</si>
  <si>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</si>
  <si>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</si>
  <si>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</si>
  <si>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</si>
  <si>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</si>
  <si>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</si>
  <si>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</si>
  <si>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</si>
  <si>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</si>
  <si>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</si>
  <si>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</si>
  <si>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</si>
  <si>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</si>
  <si>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</si>
  <si>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</si>
  <si>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</si>
  <si>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</si>
  <si>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</si>
  <si>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</si>
  <si>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Kiran Ali</t>
  </si>
  <si>
    <t>P0385</t>
  </si>
  <si>
    <t>P0386</t>
  </si>
  <si>
    <t>P0387</t>
  </si>
  <si>
    <t>Rahul Verma</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</si>
  <si>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</si>
  <si>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</si>
  <si>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</si>
  <si>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</si>
  <si>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</si>
  <si>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</si>
  <si>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</si>
  <si>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</si>
  <si>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</si>
  <si>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</si>
  <si>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</si>
  <si>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</si>
  <si>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</si>
  <si>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</si>
  <si>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</si>
  <si>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</si>
  <si>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</si>
  <si>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</si>
  <si>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</si>
  <si>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</si>
  <si>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</si>
  <si>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</si>
  <si>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</si>
  <si>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</si>
  <si>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Pooja Khan</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</si>
  <si>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</si>
  <si>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</si>
  <si>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</si>
  <si>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</si>
  <si>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</si>
  <si>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</si>
  <si>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</si>
  <si>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</si>
  <si>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</si>
  <si>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</si>
  <si>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</si>
  <si>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</si>
  <si>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</si>
  <si>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</si>
  <si>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</si>
  <si>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</si>
  <si>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</si>
  <si>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</si>
  <si>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</si>
  <si>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</si>
  <si>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</si>
  <si>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</si>
  <si>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Aman Kapoor</t>
  </si>
  <si>
    <t>P0434</t>
  </si>
  <si>
    <t>P0435</t>
  </si>
  <si>
    <t>P0436</t>
  </si>
  <si>
    <t>P0437</t>
  </si>
  <si>
    <t>P0438</t>
  </si>
  <si>
    <t>P0439</t>
  </si>
  <si>
    <t>P0440</t>
  </si>
  <si>
    <t>P0441</t>
  </si>
  <si>
    <t>P0442</t>
  </si>
  <si>
    <t>P0443</t>
  </si>
  <si>
    <t>P0444</t>
  </si>
  <si>
    <t>P0445</t>
  </si>
  <si>
    <t>Sara Singh</t>
  </si>
  <si>
    <t>P0446</t>
  </si>
  <si>
    <t>P0447</t>
  </si>
  <si>
    <t>P0448</t>
  </si>
  <si>
    <t>P0449</t>
  </si>
  <si>
    <t>P0450</t>
  </si>
  <si>
    <t>P0451</t>
  </si>
  <si>
    <t>P0452</t>
  </si>
  <si>
    <t>P0453</t>
  </si>
  <si>
    <t>P0454</t>
  </si>
  <si>
    <t>P0455</t>
  </si>
  <si>
    <t>Rohit Kumar</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</si>
  <si>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</si>
  <si>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</si>
  <si>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</si>
  <si>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</si>
  <si>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</si>
  <si>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</si>
  <si>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</si>
  <si>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</si>
  <si>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</si>
  <si>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</si>
  <si>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</si>
  <si>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</si>
  <si>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</si>
  <si>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</si>
  <si>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</si>
  <si>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</si>
  <si>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</si>
  <si>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</si>
  <si>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</si>
  <si>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</si>
  <si>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</si>
  <si>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</si>
  <si>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</si>
  <si>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</si>
  <si>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</si>
  <si>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</si>
  <si>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</si>
  <si>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</si>
  <si>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</si>
  <si>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Rahul Khan</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</si>
  <si>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</si>
  <si>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</si>
  <si>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</si>
  <si>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</si>
  <si>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</si>
  <si>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</si>
  <si>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</si>
  <si>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</si>
  <si>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</si>
  <si>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</si>
  <si>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</si>
  <si>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</si>
  <si>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</si>
  <si>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</si>
  <si>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</si>
  <si>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</si>
  <si>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</si>
  <si>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</si>
  <si>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</si>
  <si>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</si>
  <si>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</si>
  <si>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</si>
  <si>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</si>
  <si>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</si>
  <si>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</si>
  <si>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Adil Khan</t>
  </si>
  <si>
    <t>P0510</t>
  </si>
  <si>
    <t>P0511</t>
  </si>
  <si>
    <t>P0512</t>
  </si>
  <si>
    <t>P0513</t>
  </si>
  <si>
    <t>P0514</t>
  </si>
  <si>
    <t>P0515</t>
  </si>
  <si>
    <t>P0516</t>
  </si>
  <si>
    <t>Neha Rather</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</si>
  <si>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</si>
  <si>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</si>
  <si>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</si>
  <si>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</si>
  <si>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</si>
  <si>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</si>
  <si>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</si>
  <si>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</si>
  <si>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</si>
  <si>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</si>
  <si>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</si>
  <si>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</si>
  <si>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</si>
  <si>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</si>
  <si>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</si>
  <si>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</si>
  <si>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</si>
  <si>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</si>
  <si>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</si>
  <si>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</si>
  <si>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</si>
  <si>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Neha Verma</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</si>
  <si>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</si>
  <si>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</si>
  <si>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</si>
  <si>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</si>
  <si>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</si>
  <si>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</si>
  <si>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</si>
  <si>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</si>
  <si>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</si>
  <si>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</si>
  <si>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</si>
  <si>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</si>
  <si>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</si>
  <si>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</si>
  <si>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</si>
  <si>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</si>
  <si>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</si>
  <si>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</si>
  <si>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</si>
  <si>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</si>
  <si>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</si>
  <si>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</si>
  <si>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</si>
  <si>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</si>
  <si>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</si>
  <si>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</si>
  <si>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</si>
  <si>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</si>
  <si>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</si>
  <si>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</si>
  <si>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</si>
  <si>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</si>
  <si>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</si>
  <si>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</si>
  <si>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</si>
  <si>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</si>
  <si>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</si>
  <si>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</si>
  <si>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</si>
  <si>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</si>
  <si>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</si>
  <si>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</si>
  <si>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</si>
  <si>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</si>
  <si>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</si>
  <si>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</si>
  <si>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Neha Khan</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</si>
  <si>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</si>
  <si>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</si>
  <si>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</si>
  <si>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</si>
  <si>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</si>
  <si>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</si>
  <si>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</si>
  <si>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</si>
  <si>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</si>
  <si>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</si>
  <si>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</si>
  <si>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</si>
  <si>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</si>
  <si>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</si>
  <si>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</si>
  <si>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</si>
  <si>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</si>
  <si>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</si>
  <si>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</si>
  <si>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</si>
  <si>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</si>
  <si>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</si>
  <si>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</si>
  <si>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</si>
  <si>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</si>
  <si>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</si>
  <si>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</si>
  <si>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</si>
  <si>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</si>
  <si>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</si>
  <si>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</si>
  <si>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</si>
  <si>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Pooja Kapoor</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</si>
  <si>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</si>
  <si>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</si>
  <si>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</si>
  <si>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</si>
  <si>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</si>
  <si>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</si>
  <si>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</si>
  <si>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</si>
  <si>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</si>
  <si>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</si>
  <si>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</si>
  <si>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</si>
  <si>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</si>
  <si>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</si>
  <si>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</si>
  <si>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</si>
  <si>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</si>
  <si>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</si>
  <si>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</si>
  <si>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</si>
  <si>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</si>
  <si>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</si>
  <si>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</si>
  <si>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</si>
  <si>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</si>
  <si>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</si>
  <si>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</si>
  <si>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</si>
  <si>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</si>
  <si>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</si>
  <si>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</si>
  <si>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</si>
  <si>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</si>
  <si>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</si>
  <si>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</si>
  <si>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</si>
  <si>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</si>
  <si>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</si>
  <si>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</si>
  <si>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</si>
  <si>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</si>
  <si>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</si>
  <si>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</si>
  <si>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</si>
  <si>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</si>
  <si>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</si>
  <si>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</si>
  <si>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</si>
  <si>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</si>
  <si>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</si>
  <si>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</si>
  <si>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</si>
  <si>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</si>
  <si>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</si>
  <si>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</si>
  <si>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</si>
  <si>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</si>
  <si>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</si>
  <si>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</si>
  <si>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</si>
  <si>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</si>
  <si>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</si>
  <si>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</si>
  <si>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</si>
  <si>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</si>
  <si>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</si>
  <si>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</si>
  <si>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</si>
  <si>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</si>
  <si>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</si>
  <si>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</si>
  <si>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</si>
  <si>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</si>
  <si>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</si>
  <si>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</si>
  <si>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</si>
  <si>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</si>
  <si>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</si>
  <si>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</si>
  <si>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</si>
  <si>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</si>
  <si>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</si>
  <si>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</si>
  <si>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</si>
  <si>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</si>
  <si>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</si>
  <si>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</si>
  <si>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</si>
  <si>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</si>
  <si>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</si>
  <si>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</si>
  <si>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</si>
  <si>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</si>
  <si>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</si>
  <si>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</si>
  <si>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</si>
  <si>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</si>
  <si>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</si>
  <si>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</si>
  <si>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</si>
  <si>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</si>
  <si>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</si>
  <si>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</si>
  <si>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</si>
  <si>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</si>
  <si>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</si>
  <si>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</si>
  <si>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Rohit Verma</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</si>
  <si>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</si>
  <si>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</si>
  <si>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</si>
  <si>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</si>
  <si>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</si>
  <si>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</si>
  <si>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</si>
  <si>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</si>
  <si>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</si>
  <si>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</si>
  <si>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</si>
  <si>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</si>
  <si>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</si>
  <si>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</si>
  <si>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</si>
  <si>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</si>
  <si>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</si>
  <si>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</si>
  <si>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</si>
  <si>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</si>
  <si>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</si>
  <si>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</si>
  <si>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</si>
  <si>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</si>
  <si>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</si>
  <si>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</si>
  <si>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</si>
  <si>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</si>
  <si>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</si>
  <si>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</si>
  <si>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</si>
  <si>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</si>
  <si>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</si>
  <si>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</si>
  <si>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</si>
  <si>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</si>
  <si>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</si>
  <si>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</si>
  <si>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</si>
  <si>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</si>
  <si>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</si>
  <si>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</si>
  <si>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</si>
  <si>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</si>
  <si>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</si>
  <si>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</si>
  <si>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</si>
  <si>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</si>
  <si>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</si>
  <si>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</si>
  <si>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</si>
  <si>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</si>
  <si>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</si>
  <si>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</si>
  <si>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</si>
  <si>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</si>
  <si>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</si>
  <si>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</si>
  <si>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</si>
  <si>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</si>
  <si>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</si>
  <si>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</si>
  <si>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</si>
  <si>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</si>
  <si>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</si>
  <si>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</si>
  <si>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</si>
  <si>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</si>
  <si>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</si>
  <si>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</si>
  <si>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</si>
  <si>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</si>
  <si>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</si>
  <si>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</si>
  <si>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</si>
  <si>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</si>
  <si>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</si>
  <si>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</si>
  <si>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</si>
  <si>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</si>
  <si>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</si>
  <si>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</si>
  <si>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</si>
  <si>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</si>
  <si>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</si>
  <si>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</si>
  <si>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</si>
  <si>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</si>
  <si>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</si>
  <si>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</si>
  <si>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</si>
  <si>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</si>
  <si>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</si>
  <si>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</si>
  <si>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</si>
  <si>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</si>
  <si>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</si>
  <si>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</si>
  <si>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</si>
  <si>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</si>
  <si>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</si>
  <si>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</si>
  <si>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</si>
  <si>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</si>
  <si>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</si>
  <si>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</si>
  <si>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</si>
  <si>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</si>
  <si>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</si>
  <si>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</si>
  <si>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</si>
  <si>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</si>
  <si>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</si>
  <si>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</si>
  <si>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</si>
  <si>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</si>
  <si>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</si>
  <si>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</si>
  <si>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</si>
  <si>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</si>
  <si>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</si>
  <si>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</si>
  <si>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</si>
  <si>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</si>
  <si>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</si>
  <si>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</si>
  <si>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</si>
  <si>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</si>
  <si>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</si>
  <si>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</si>
  <si>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</si>
  <si>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</si>
  <si>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</si>
  <si>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</si>
  <si>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</si>
  <si>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</si>
  <si>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</si>
  <si>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</si>
  <si>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</si>
  <si>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</si>
  <si>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</si>
  <si>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</si>
  <si>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</si>
  <si>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</si>
  <si>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</si>
  <si>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</si>
  <si>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</si>
  <si>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</si>
  <si>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</si>
  <si>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</si>
  <si>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</si>
  <si>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</si>
  <si>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</si>
  <si>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</si>
  <si>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</si>
  <si>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</si>
  <si>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</si>
  <si>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</si>
  <si>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</si>
  <si>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</si>
  <si>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</si>
  <si>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</si>
  <si>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</si>
  <si>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</si>
  <si>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</si>
  <si>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</si>
  <si>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</si>
  <si>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</si>
  <si>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</si>
  <si>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</si>
  <si>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</si>
  <si>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</si>
  <si>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</si>
  <si>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</si>
  <si>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</si>
  <si>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</si>
  <si>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</si>
  <si>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</si>
  <si>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</si>
  <si>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</si>
  <si>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</si>
  <si>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</si>
  <si>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</si>
  <si>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</si>
  <si>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</si>
  <si>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</si>
  <si>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</si>
  <si>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</si>
  <si>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</si>
  <si>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</si>
  <si>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</si>
  <si>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</si>
  <si>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</si>
  <si>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</si>
  <si>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</si>
  <si>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</si>
  <si>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</si>
  <si>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</si>
  <si>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</si>
  <si>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</si>
  <si>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</si>
  <si>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</si>
  <si>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</si>
  <si>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</si>
  <si>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</si>
  <si>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</si>
  <si>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</si>
  <si>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</si>
  <si>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</si>
  <si>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</si>
  <si>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</si>
  <si>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</si>
  <si>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</si>
  <si>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</si>
  <si>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</si>
  <si>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</si>
  <si>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</si>
  <si>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</si>
  <si>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</si>
  <si>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</si>
  <si>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</si>
  <si>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</si>
  <si>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</si>
  <si>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</si>
  <si>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</si>
  <si>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</si>
  <si>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</si>
  <si>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</si>
  <si>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</si>
  <si>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</si>
  <si>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</si>
  <si>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</si>
  <si>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</si>
  <si>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</si>
  <si>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</si>
  <si>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</si>
  <si>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</si>
  <si>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</si>
  <si>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</si>
  <si>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</si>
  <si>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</si>
  <si>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</si>
  <si>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</si>
  <si>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</si>
  <si>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</si>
  <si>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</si>
  <si>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</si>
  <si>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</si>
  <si>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</si>
  <si>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</si>
  <si>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</si>
  <si>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</si>
  <si>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</si>
  <si>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</si>
  <si>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</si>
  <si>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</si>
  <si>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</si>
  <si>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</si>
  <si>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</si>
  <si>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</si>
  <si>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</si>
  <si>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</si>
  <si>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</si>
  <si>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</si>
  <si>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</si>
  <si>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</si>
  <si>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</si>
  <si>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</si>
  <si>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</si>
  <si>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</si>
  <si>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</si>
  <si>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</si>
  <si>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</si>
  <si>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</si>
  <si>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</si>
  <si>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</si>
  <si>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</si>
  <si>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</si>
  <si>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Diseases</t>
  </si>
  <si>
    <t>Doctors</t>
  </si>
  <si>
    <t>Dr.Sharma</t>
  </si>
  <si>
    <t>Month</t>
  </si>
  <si>
    <t>Row Labels</t>
  </si>
  <si>
    <t>Grand Total</t>
  </si>
  <si>
    <t>Count of Patient ID</t>
  </si>
  <si>
    <t>March</t>
  </si>
  <si>
    <t>April</t>
  </si>
  <si>
    <t>February</t>
  </si>
  <si>
    <t>May</t>
  </si>
  <si>
    <t>November</t>
  </si>
  <si>
    <t>Sum of Bill</t>
  </si>
  <si>
    <t>Total Patients</t>
  </si>
  <si>
    <t>Total Revenue</t>
  </si>
  <si>
    <t>Average Stay</t>
  </si>
  <si>
    <t>Maximum Bill</t>
  </si>
  <si>
    <t>Minimum Bill</t>
  </si>
  <si>
    <t xml:space="preserve">             HOSPITAL MANAGEMENT DASHBOARD             </t>
  </si>
  <si>
    <t>tt</t>
  </si>
  <si>
    <t>January</t>
  </si>
  <si>
    <t>June</t>
  </si>
  <si>
    <t>July</t>
  </si>
  <si>
    <t>August</t>
  </si>
  <si>
    <t>September</t>
  </si>
  <si>
    <t>October</t>
  </si>
  <si>
    <t>December</t>
  </si>
  <si>
    <t>Average Bill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</si>
</sst>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5" x14ac:knownFonts="1">
    <font>
      <sz val="11"/>
      <color theme="1"/>
      <name val="Calibri"/>
      <family val="2"/>
      <scheme val="minor"/>
    </font>
    <font>
      <b/>
      <sz val="11"/>
      <color theme="1"/>
      <name val="Calibri"/>
      <family val="2"/>
      <scheme val="minor"/>
    </font>
    <font>
      <sz val="12"/>
      <color theme="1"/>
      <name val="Arial Black"/>
      <family val="2"/>
    </font>
    <font>
      <sz val="16"/>
      <color theme="1"/>
      <name val="Arial Black"/>
      <family val="2"/>
    </font>
    <font>
      <b/>
      <sz val="11"/>
      <color theme="1"/>
      <name val="Arial Black"/>
      <family val="2"/>
    </font>
  </fonts>
  <fills count="2">
    <fill>
      <patternFill patternType="none"/>
    </fill>
    <fill>
      <patternFill patternType="gray125"/>
    </fill>
  </fills>
  <borders count="17">
    <border>
      <left/>
      <right/>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0">
    <xf numFmtId="0" fontId="0" fillId="0" borderId="0" xfId="0"/>
    <xf numFmtId="164" fontId="0" fillId="0" borderId="0" xfId="0" applyNumberFormat="1"/>
    <xf numFmtId="0" fontId="0" fillId="0" borderId="0" xfId="0" applyAlignment="1">
      <alignment vertical="center"/>
    </xf>
    <xf numFmtId="0" fontId="1" fillId="0" borderId="0" xfId="0" applyFont="1" applyAlignment="1">
      <alignment vertical="center"/>
    </xf>
    <xf numFmtId="0" fontId="0" fillId="0" borderId="0" xfId="0" applyAlignment="1">
      <alignment vertical="center" wrapText="1"/>
    </xf>
    <xf numFmtId="14" fontId="0" fillId="0" borderId="0" xfId="0" applyNumberForma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1" xfId="0" applyBorder="1"/>
    <xf numFmtId="0" fontId="0" fillId="0" borderId="7" xfId="0" applyBorder="1"/>
    <xf numFmtId="0" fontId="4" fillId="0" borderId="8" xfId="0" applyFont="1" applyBorder="1" applyAlignment="1">
      <alignment vertical="center"/>
    </xf>
    <xf numFmtId="165" fontId="2" fillId="0" borderId="8" xfId="0" applyNumberFormat="1" applyFont="1" applyBorder="1" applyAlignment="1">
      <alignment vertical="center"/>
    </xf>
    <xf numFmtId="0" fontId="2" fillId="0" borderId="8" xfId="0" applyFont="1" applyBorder="1" applyAlignment="1">
      <alignment vertical="center"/>
    </xf>
    <xf numFmtId="0" fontId="3" fillId="0" borderId="9" xfId="0" applyFont="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0" xfId="0" applyNumberFormat="1"/>
  </cellXfs>
  <cellStyles count="1">
    <cellStyle name="Normal" xfId="0" builtinId="0"/>
  </cellStyles>
  <dxfs count="9">
    <dxf>
      <fill>
        <patternFill>
          <bgColor rgb="FFFF0000"/>
        </patternFill>
      </fill>
    </dxf>
    <dxf>
      <font>
        <color rgb="FF9C0006"/>
      </font>
      <fill>
        <patternFill>
          <bgColor rgb="FFFFC7CE"/>
        </patternFill>
      </fill>
    </dxf>
    <dxf>
      <fill>
        <patternFill>
          <bgColor theme="9"/>
        </patternFill>
      </fill>
    </dxf>
    <dxf>
      <fill>
        <patternFill>
          <bgColor rgb="FF00B0F0"/>
        </patternFill>
      </fill>
    </dxf>
    <dxf>
      <numFmt numFmtId="165" formatCode="&quot;₹&quot;\ #,##0.00"/>
    </dxf>
    <dxf>
      <numFmt numFmtId="1" formatCode="0"/>
    </dxf>
    <dxf>
      <numFmt numFmtId="19" formatCode="dd/mm/yyyy"/>
    </dxf>
    <dxf>
      <numFmt numFmtId="0" formatCode="General"/>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[Hospital_Management_System.xlsx]Disease Analysis!Disease Analysis</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'Disease Analysis'!$B$3</c:f>
              <c:strCache>
                <c:ptCount val="1"/>
                <c:pt idx="0">
                  <c:v>Total</c:v>
                </c:pt>
              </c:strCache>
            </c:strRef>
          </c:tx>
          <c:spPr>
            <a:solidFill>
              <a:schemeClr val="accent1"/>
            </a:solidFill>
            <a:ln>
              <a:noFill/>
            </a:ln>
            <a:effectLst/>
            <a:sp3d/>
          </c:spPr>
          <c:invertIfNegative val="0"/>
          <c:cat>
            <c:strRef>
              <c:f>'Disease Analysis'!$A$4:$A$14</c:f>
              <c:strCache>
                <c:ptCount val="10"/>
                <c:pt idx="0">
                  <c:v>Asthma</c:v>
                </c:pt>
                <c:pt idx="1">
                  <c:v>Covid-19</c:v>
                </c:pt>
                <c:pt idx="2">
                  <c:v>Dengue</c:v>
                </c:pt>
                <c:pt idx="3">
                  <c:v>Diabetes</c:v>
                </c:pt>
                <c:pt idx="4">
                  <c:v>Fever</c:v>
                </c:pt>
                <c:pt idx="5">
                  <c:v>Heart Disease</c:v>
                </c:pt>
                <c:pt idx="6">
                  <c:v>Hypertension</c:v>
                </c:pt>
                <c:pt idx="7">
                  <c:v>Kidney Stone</c:v>
                </c:pt>
                <c:pt idx="8">
                  <c:v>Migraine</c:v>
                </c:pt>
                <c:pt idx="9">
                  <c:v>Pneumonia</c:v>
                </c:pt>
              </c:strCache>
            </c:strRef>
          </c:cat>
          <c:val>
            <c:numRef>
              <c:f>'Disease Analysis'!$B$4:$B$14</c:f>
              <c:numCache>
                <c:formatCode>General</c:formatCode>
                <c:ptCount val="10"/>
                <c:pt idx="0">
                  <c:v>102</c:v>
                </c:pt>
                <c:pt idx="1">
                  <c:v>106</c:v>
                </c:pt>
                <c:pt idx="2">
                  <c:v>83</c:v>
                </c:pt>
                <c:pt idx="3">
                  <c:v>104</c:v>
                </c:pt>
                <c:pt idx="4">
                  <c:v>102</c:v>
                </c:pt>
                <c:pt idx="5">
                  <c:v>110</c:v>
                </c:pt>
                <c:pt idx="6">
                  <c:v>97</c:v>
                </c:pt>
                <c:pt idx="7">
                  <c:v>88</c:v>
                </c:pt>
                <c:pt idx="8">
                  <c:v>107</c:v>
                </c:pt>
                <c:pt idx="9">
                  <c:v>101</c:v>
                </c:pt>
              </c:numCache>
            </c:numRef>
          </c:val>
          <c:extLst>
            <c:ext xmlns:c16="http://schemas.microsoft.com/office/drawing/2014/chart" uri="{C3380CC4-5D6E-409C-BE32-E72D297353CC}">
              <c16:uniqueId val="{00000000-5B30-4CC0-99A4-3885FDB441FE}"/>
            </c:ext>
          </c:extLst>
        </c:ser>
        <c:dLbls>
          <c:showLegendKey val="0"/>
          <c:showVal val="0"/>
          <c:showCatName val="0"/>
          <c:showSerName val="0"/>
          <c:showPercent val="0"/>
          <c:showBubbleSize val="0"/>
        </c:dLbls>
        <c:gapWidth val="150"/>
        <c:shape val="box"/>
        <c:axId val="488628768"/>
        <c:axId val="304675920"/>
        <c:axId val="0"/>
      </c:bar3DChart>
      <c:catAx>
        <c:axId val="488628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675920"/>
        <c:crosses val="autoZero"/>
        <c:auto val="1"/>
        <c:lblAlgn val="ctr"/>
        <c:lblOffset val="100"/>
        <c:noMultiLvlLbl val="0"/>
      </c:catAx>
      <c:valAx>
        <c:axId val="304675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62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[Hospital_Management_System.xlsx]Monthly Admissions!PivotTable6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'Monthly Admissions'!$B$3</c:f>
              <c:strCache>
                <c:ptCount val="1"/>
                <c:pt idx="0">
                  <c:v>Total</c:v>
                </c:pt>
              </c:strCache>
            </c:strRef>
          </c:tx>
          <c:spPr>
            <a:solidFill>
              <a:schemeClr val="accent1"/>
            </a:solidFill>
            <a:ln>
              <a:noFill/>
            </a:ln>
            <a:effectLst/>
            <a:sp3d/>
          </c:spPr>
          <c:cat>
            <c:strRef>
              <c:f>'Monthly Admissions'!$A$4:$A$16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Admissions'!$B$4:$B$16</c:f>
              <c:numCache>
                <c:formatCode>General</c:formatCode>
                <c:ptCount val="12"/>
                <c:pt idx="0">
                  <c:v>92</c:v>
                </c:pt>
                <c:pt idx="1">
                  <c:v>76</c:v>
                </c:pt>
                <c:pt idx="2">
                  <c:v>84</c:v>
                </c:pt>
                <c:pt idx="3">
                  <c:v>89</c:v>
                </c:pt>
                <c:pt idx="4">
                  <c:v>82</c:v>
                </c:pt>
                <c:pt idx="5">
                  <c:v>70</c:v>
                </c:pt>
                <c:pt idx="6">
                  <c:v>86</c:v>
                </c:pt>
                <c:pt idx="7">
                  <c:v>75</c:v>
                </c:pt>
                <c:pt idx="8">
                  <c:v>95</c:v>
                </c:pt>
                <c:pt idx="9">
                  <c:v>82</c:v>
                </c:pt>
                <c:pt idx="10">
                  <c:v>79</c:v>
                </c:pt>
                <c:pt idx="11">
                  <c:v>90</c:v>
                </c:pt>
              </c:numCache>
            </c:numRef>
          </c:val>
          <c:smooth val="0"/>
          <c:extLst>
            <c:ext xmlns:c16="http://schemas.microsoft.com/office/drawing/2014/chart" uri="{C3380CC4-5D6E-409C-BE32-E72D297353CC}">
              <c16:uniqueId val="{00000000-D007-40A9-ABA0-0D3C0E0CE80E}"/>
            </c:ext>
          </c:extLst>
        </c:ser>
        <c:dLbls>
          <c:showLegendKey val="0"/>
          <c:showVal val="0"/>
          <c:showCatName val="0"/>
          <c:showSerName val="0"/>
          <c:showPercent val="0"/>
          <c:showBubbleSize val="0"/>
        </c:dLbls>
        <c:axId val="573356176"/>
        <c:axId val="616621008"/>
        <c:axId val="318763680"/>
      </c:line3DChart>
      <c:catAx>
        <c:axId val="573356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621008"/>
        <c:crosses val="autoZero"/>
        <c:auto val="1"/>
        <c:lblAlgn val="ctr"/>
        <c:lblOffset val="100"/>
        <c:noMultiLvlLbl val="0"/>
      </c:catAx>
      <c:valAx>
        <c:axId val="61662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356176"/>
        <c:crosses val="autoZero"/>
        <c:crossBetween val="between"/>
      </c:valAx>
      <c:serAx>
        <c:axId val="3187636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62100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[Hospital_Management_System.xlsx]Doctor-wise Patients!PivotTable8</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'Doctor-wise Patients'!$B$3</c:f>
              <c:strCache>
                <c:ptCount val="1"/>
                <c:pt idx="0">
                  <c:v>Total</c:v>
                </c:pt>
              </c:strCache>
            </c:strRef>
          </c:tx>
          <c:spPr>
            <a:solidFill>
              <a:schemeClr val="accent1"/>
            </a:solidFill>
            <a:ln>
              <a:noFill/>
            </a:ln>
            <a:effectLst/>
            <a:sp3d/>
          </c:spPr>
          <c:invertIfNegative val="0"/>
          <c:cat>
            <c:strRef>
              <c:f>'Doctor-wise Patients'!$A$4:$A$12</c:f>
              <c:strCache>
                <c:ptCount val="8"/>
                <c:pt idx="0">
                  <c:v>Dr. Ali</c:v>
                </c:pt>
                <c:pt idx="1">
                  <c:v>Dr. Gupta</c:v>
                </c:pt>
                <c:pt idx="2">
                  <c:v>Dr. Kapoor</c:v>
                </c:pt>
                <c:pt idx="3">
                  <c:v>Dr. Khan</c:v>
                </c:pt>
                <c:pt idx="4">
                  <c:v>Dr. Mehta</c:v>
                </c:pt>
                <c:pt idx="5">
                  <c:v>Dr. Sharma</c:v>
                </c:pt>
                <c:pt idx="6">
                  <c:v>Dr. Singh</c:v>
                </c:pt>
                <c:pt idx="7">
                  <c:v>Dr. Verma</c:v>
                </c:pt>
              </c:strCache>
            </c:strRef>
          </c:cat>
          <c:val>
            <c:numRef>
              <c:f>'Doctor-wise Patients'!$B$4:$B$12</c:f>
              <c:numCache>
                <c:formatCode>"₹"\ #,##0.00</c:formatCode>
                <c:ptCount val="8"/>
                <c:pt idx="0">
                  <c:v>8419154</c:v>
                </c:pt>
                <c:pt idx="1">
                  <c:v>6521011</c:v>
                </c:pt>
                <c:pt idx="2">
                  <c:v>8859463</c:v>
                </c:pt>
                <c:pt idx="3">
                  <c:v>8118079</c:v>
                </c:pt>
                <c:pt idx="4">
                  <c:v>8474026</c:v>
                </c:pt>
                <c:pt idx="5">
                  <c:v>7894923</c:v>
                </c:pt>
                <c:pt idx="6">
                  <c:v>6933121</c:v>
                </c:pt>
                <c:pt idx="7">
                  <c:v>8447086</c:v>
                </c:pt>
              </c:numCache>
            </c:numRef>
          </c:val>
          <c:extLst>
            <c:ext xmlns:c16="http://schemas.microsoft.com/office/drawing/2014/chart" uri="{C3380CC4-5D6E-409C-BE32-E72D297353CC}">
              <c16:uniqueId val="{00000000-A8F0-4B69-93C7-AF7C90CBFBF9}"/>
            </c:ext>
          </c:extLst>
        </c:ser>
        <c:dLbls>
          <c:showLegendKey val="0"/>
          <c:showVal val="0"/>
          <c:showCatName val="0"/>
          <c:showSerName val="0"/>
          <c:showPercent val="0"/>
          <c:showBubbleSize val="0"/>
        </c:dLbls>
        <c:gapWidth val="150"/>
        <c:shape val="box"/>
        <c:axId val="1802338640"/>
        <c:axId val="616663728"/>
        <c:axId val="0"/>
      </c:bar3DChart>
      <c:catAx>
        <c:axId val="1802338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663728"/>
        <c:crosses val="autoZero"/>
        <c:auto val="1"/>
        <c:lblAlgn val="ctr"/>
        <c:lblOffset val="100"/>
        <c:noMultiLvlLbl val="0"/>
      </c:catAx>
      <c:valAx>
        <c:axId val="6166637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33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[Hospital_Management_System.xlsx]Gender Distribution!PivotTable10</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'Gender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39-4D39-8C1E-C47389A48E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39-4D39-8C1E-C47389A48E07}"/>
              </c:ext>
            </c:extLst>
          </c:dPt>
          <c:cat>
            <c:strRef>
              <c:f>'Gender Distribution'!$A$4:$A$6</c:f>
              <c:strCache>
                <c:ptCount val="2"/>
                <c:pt idx="0">
                  <c:v>Female</c:v>
                </c:pt>
                <c:pt idx="1">
                  <c:v>Male</c:v>
                </c:pt>
              </c:strCache>
            </c:strRef>
          </c:cat>
          <c:val>
            <c:numRef>
              <c:f>'Gender Distribution'!$B$4:$B$6</c:f>
              <c:numCache>
                <c:formatCode>General</c:formatCode>
                <c:ptCount val="2"/>
                <c:pt idx="0">
                  <c:v>489</c:v>
                </c:pt>
                <c:pt idx="1">
                  <c:v>511</c:v>
                </c:pt>
              </c:numCache>
            </c:numRef>
          </c:val>
          <c:extLst>
            <c:ext xmlns:c16="http://schemas.microsoft.com/office/drawing/2014/chart" uri="{C3380CC4-5D6E-409C-BE32-E72D297353CC}">
              <c16:uniqueId val="{00000004-C239-4D39-8C1E-C47389A48E0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[Hospital_Management_System.xlsx]Revenue By Doctor!PivotTable1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'Revenue By Doctor'!$B$3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D4-48B2-A2F4-BC83A96A46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D4-48B2-A2F4-BC83A96A46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D4-48B2-A2F4-BC83A96A46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D4-48B2-A2F4-BC83A96A46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D4-48B2-A2F4-BC83A96A466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6D4-48B2-A2F4-BC83A96A466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6D4-48B2-A2F4-BC83A96A466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6D4-48B2-A2F4-BC83A96A4661}"/>
              </c:ext>
            </c:extLst>
          </c:dPt>
          <c:cat>
            <c:strRef>
              <c:f>'Revenue By Doctor'!$A$4:$A$12</c:f>
              <c:strCache>
                <c:ptCount val="8"/>
                <c:pt idx="0">
                  <c:v>Dr. Ali</c:v>
                </c:pt>
                <c:pt idx="1">
                  <c:v>Dr. Gupta</c:v>
                </c:pt>
                <c:pt idx="2">
                  <c:v>Dr. Kapoor</c:v>
                </c:pt>
                <c:pt idx="3">
                  <c:v>Dr. Khan</c:v>
                </c:pt>
                <c:pt idx="4">
                  <c:v>Dr. Mehta</c:v>
                </c:pt>
                <c:pt idx="5">
                  <c:v>Dr. Sharma</c:v>
                </c:pt>
                <c:pt idx="6">
                  <c:v>Dr. Singh</c:v>
                </c:pt>
                <c:pt idx="7">
                  <c:v>Dr. Verma</c:v>
                </c:pt>
              </c:strCache>
            </c:strRef>
          </c:cat>
          <c:val>
            <c:numRef>
              <c:f>'Revenue By Doctor'!$B$4:$B$12</c:f>
              <c:numCache>
                <c:formatCode>"₹"\ #,##0.00</c:formatCode>
                <c:ptCount val="8"/>
                <c:pt idx="0">
                  <c:v>8419154</c:v>
                </c:pt>
                <c:pt idx="1">
                  <c:v>6521011</c:v>
                </c:pt>
                <c:pt idx="2">
                  <c:v>8859463</c:v>
                </c:pt>
                <c:pt idx="3">
                  <c:v>8118079</c:v>
                </c:pt>
                <c:pt idx="4">
                  <c:v>8474026</c:v>
                </c:pt>
                <c:pt idx="5">
                  <c:v>7894923</c:v>
                </c:pt>
                <c:pt idx="6">
                  <c:v>6933121</c:v>
                </c:pt>
                <c:pt idx="7">
                  <c:v>8447086</c:v>
                </c:pt>
              </c:numCache>
            </c:numRef>
          </c:val>
          <c:extLst>
            <c:ext xmlns:c16="http://schemas.microsoft.com/office/drawing/2014/chart" uri="{C3380CC4-5D6E-409C-BE32-E72D297353CC}">
              <c16:uniqueId val="{00000010-96D4-48B2-A2F4-BC83A96A466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594360</xdr:colOff>
      <xdr:row>4</xdr:row>
      <xdr:rowOff>220980</xdr:rowOff>
    </xdr:from>
    <xdr:to>
      <xdr:col>7</xdr:col>
      <xdr:colOff>7620</xdr:colOff>
      <xdr:row>20</xdr:row>
      <xdr:rowOff>182578</xdr:rowOff>
    </xdr:to>
    <xdr:graphicFrame macro="">
      <xdr:nvGraphicFramePr>
        <xdr:cNvPr id="2" name="Chart 1">
          <a:extLst>
            <a:ext uri="{FF2B5EF4-FFF2-40B4-BE49-F238E27FC236}">
              <a16:creationId xmlns:a16="http://schemas.microsoft.com/office/drawing/2014/main" id="{681C61AB-0AC1-4F10-AA3E-3F7A08E5A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571949</xdr:colOff>
      <xdr:row>70</xdr:row>
      <xdr:rowOff>13896</xdr:rowOff>
    </xdr:from>
    <xdr:to>
      <xdr:col>7</xdr:col>
      <xdr:colOff>23309</xdr:colOff>
      <xdr:row>86</xdr:row>
      <xdr:rowOff>57543</xdr:rowOff>
    </xdr:to>
    <xdr:graphicFrame macro="">
      <xdr:nvGraphicFramePr>
        <xdr:cNvPr id="6" name="Chart 5">
          <a:extLst>
            <a:ext uri="{FF2B5EF4-FFF2-40B4-BE49-F238E27FC236}">
              <a16:creationId xmlns:a16="http://schemas.microsoft.com/office/drawing/2014/main" id="{903211AE-C2C0-4F6C-B0A1-0CC2C741B1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0</xdr:row>
      <xdr:rowOff>0</xdr:rowOff>
    </xdr:from>
    <xdr:to>
      <xdr:col>10</xdr:col>
      <xdr:colOff>6802</xdr:colOff>
      <xdr:row>5</xdr:row>
      <xdr:rowOff>6803</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5C10BDF9-5856-4719-84C0-3F87058A662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78806" y="0"/>
              <a:ext cx="1849250" cy="1030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13607</xdr:colOff>
      <xdr:row>5</xdr:row>
      <xdr:rowOff>372</xdr:rowOff>
    </xdr:from>
    <xdr:to>
      <xdr:col>10</xdr:col>
      <xdr:colOff>10438</xdr:colOff>
      <xdr:row>21</xdr:row>
      <xdr:rowOff>104383</xdr:rowOff>
    </xdr:to>
    <mc:AlternateContent xmlns:mc="http://schemas.openxmlformats.org/markup-compatibility/2006" xmlns:a14="http://schemas.microsoft.com/office/drawing/2010/main">
      <mc:Choice Requires="a14">
        <xdr:graphicFrame macro="">
          <xdr:nvGraphicFramePr>
            <xdr:cNvPr id="9" name="Disease">
              <a:extLst>
                <a:ext uri="{FF2B5EF4-FFF2-40B4-BE49-F238E27FC236}">
                  <a16:creationId xmlns:a16="http://schemas.microsoft.com/office/drawing/2014/main" id="{DD42F23F-936E-47D8-9ED4-3CEA174CF8B4}"/>
                </a:ext>
              </a:extLst>
            </xdr:cNvPr>
            <xdr:cNvGraphicFramePr/>
          </xdr:nvGraphicFramePr>
          <xdr:xfrm>
            <a:off x="0" y="0"/>
            <a:ext cx="0" cy="0"/>
          </xdr:xfrm>
          <a:graphic>
            <a:graphicData uri="http://schemas.microsoft.com/office/drawing/2010/slicer">
              <sle:slicer xmlns:sle="http://schemas.microsoft.com/office/drawing/2010/slicer" name="Disease"/>
            </a:graphicData>
          </a:graphic>
        </xdr:graphicFrame>
      </mc:Choice>
      <mc:Fallback xmlns="">
        <xdr:sp macro="" textlink="">
          <xdr:nvSpPr>
            <xdr:cNvPr id="0" name=""/>
            <xdr:cNvSpPr>
              <a:spLocks noTextEdit="1"/>
            </xdr:cNvSpPr>
          </xdr:nvSpPr>
          <xdr:spPr>
            <a:xfrm>
              <a:off x="7292413" y="1023954"/>
              <a:ext cx="1839279" cy="3015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10438</xdr:colOff>
      <xdr:row>21</xdr:row>
      <xdr:rowOff>93946</xdr:rowOff>
    </xdr:from>
    <xdr:to>
      <xdr:col>10</xdr:col>
      <xdr:colOff>306</xdr:colOff>
      <xdr:row>35</xdr:row>
      <xdr:rowOff>62631</xdr:rowOff>
    </xdr:to>
    <mc:AlternateContent xmlns:mc="http://schemas.openxmlformats.org/markup-compatibility/2006" xmlns:a14="http://schemas.microsoft.com/office/drawing/2010/main">
      <mc:Choice Requires="a14">
        <xdr:graphicFrame macro="">
          <xdr:nvGraphicFramePr>
            <xdr:cNvPr id="10" name="Doctor">
              <a:extLst>
                <a:ext uri="{FF2B5EF4-FFF2-40B4-BE49-F238E27FC236}">
                  <a16:creationId xmlns:a16="http://schemas.microsoft.com/office/drawing/2014/main" id="{829DCBE4-6C2D-484E-AB0B-D31BF635A953}"/>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mlns="">
        <xdr:sp macro="" textlink="">
          <xdr:nvSpPr>
            <xdr:cNvPr id="0" name=""/>
            <xdr:cNvSpPr>
              <a:spLocks noTextEdit="1"/>
            </xdr:cNvSpPr>
          </xdr:nvSpPr>
          <xdr:spPr>
            <a:xfrm>
              <a:off x="7289244" y="4029050"/>
              <a:ext cx="1832316" cy="2516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21</xdr:row>
      <xdr:rowOff>11206</xdr:rowOff>
    </xdr:from>
    <xdr:to>
      <xdr:col>7</xdr:col>
      <xdr:colOff>11206</xdr:colOff>
      <xdr:row>39</xdr:row>
      <xdr:rowOff>53789</xdr:rowOff>
    </xdr:to>
    <xdr:graphicFrame macro="">
      <xdr:nvGraphicFramePr>
        <xdr:cNvPr id="11" name="Chart 10">
          <a:extLst>
            <a:ext uri="{FF2B5EF4-FFF2-40B4-BE49-F238E27FC236}">
              <a16:creationId xmlns:a16="http://schemas.microsoft.com/office/drawing/2014/main" id="{C543DA75-9AD2-4FC2-9046-8A9870125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593913</xdr:colOff>
      <xdr:row>56</xdr:row>
      <xdr:rowOff>0</xdr:rowOff>
    </xdr:from>
    <xdr:to>
      <xdr:col>7</xdr:col>
      <xdr:colOff>1</xdr:colOff>
      <xdr:row>70</xdr:row>
      <xdr:rowOff>0</xdr:rowOff>
    </xdr:to>
    <xdr:graphicFrame macro="">
      <xdr:nvGraphicFramePr>
        <xdr:cNvPr id="13" name="Chart 12">
          <a:extLst>
            <a:ext uri="{FF2B5EF4-FFF2-40B4-BE49-F238E27FC236}">
              <a16:creationId xmlns:a16="http://schemas.microsoft.com/office/drawing/2014/main" id="{B79375F7-B84F-44D6-B29C-A3F4191F8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39</xdr:row>
      <xdr:rowOff>76200</xdr:rowOff>
    </xdr:from>
    <xdr:to>
      <xdr:col>7</xdr:col>
      <xdr:colOff>0</xdr:colOff>
      <xdr:row>56</xdr:row>
      <xdr:rowOff>7620</xdr:rowOff>
    </xdr:to>
    <xdr:graphicFrame macro="">
      <xdr:nvGraphicFramePr>
        <xdr:cNvPr id="3" name="Chart 2">
          <a:extLst>
            <a:ext uri="{FF2B5EF4-FFF2-40B4-BE49-F238E27FC236}">
              <a16:creationId xmlns:a16="http://schemas.microsoft.com/office/drawing/2014/main" id="{2929768B-7736-45B5-8E6F-20EC43349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hank Rana" refreshedDate="46202.477790740741" createdVersion="8" refreshedVersion="8" minRefreshableVersion="3" recordCount="1000" xr:uid="{C9E565A6-6DFA-4E4C-A939-55819F137523}">
  <cacheSource type="worksheet">
    <worksheetSource name="Hospital"/>
  </cacheSource>
  <cacheFields count="11">
    <cacheField name="Patient ID" numFmtId="0">
      <sharedItems/>
    </cacheField>
    <cacheField name="Name" numFmtId="0">
      <sharedItems/>
    </cacheField>
    <cacheField name="Age" numFmtId="0">
      <sharedItems containsSemiMixedTypes="0" containsString="0" containsNumber="1" containsInteger="1" minValue="1" maxValue="90"/>
    </cacheField>
    <cacheField name="Gender" numFmtId="0">
      <sharedItems count="2">
        <s v="Male"/>
        <s v="Female"/>
      </sharedItems>
    </cacheField>
    <cacheField name="Disease" numFmtId="0">
      <sharedItems count="10">
        <s v="Migraine"/>
        <s v="Kidney Stone"/>
        <s v="Diabetes"/>
        <s v="Heart Disease"/>
        <s v="Dengue"/>
        <s v="Covid-19"/>
        <s v="Pneumonia"/>
        <s v="Asthma"/>
        <s v="Fever"/>
        <s v="Hypertension"/>
      </sharedItems>
    </cacheField>
    <cacheField name="Doctor" numFmtId="0">
      <sharedItems count="8">
        <s v="Dr. Khan"/>
        <s v="Dr. Kapoor"/>
        <s v="Dr. Mehta"/>
        <s v="Dr. Verma"/>
        <s v="Dr. Sharma"/>
        <s v="Dr. Gupta"/>
        <s v="Dr. Ali"/>
        <s v="Dr. Singh"/>
      </sharedItems>
    </cacheField>
    <cacheField name="Admission Date" numFmtId="14">
      <sharedItems containsSemiMixedTypes="0" containsNonDate="0" containsDate="1" containsString="0" minDate="2025-01-01T00:00:00" maxDate="2026-01-01T00:00:00"/>
    </cacheField>
    <cacheField name="Month" numFmtId="0">
      <sharedItems count="12">
        <s v="December"/>
        <s v="January"/>
        <s v="September"/>
        <s v="February"/>
        <s v="March"/>
        <s v="April"/>
        <s v="May"/>
        <s v="June"/>
        <s v="August"/>
        <s v="November"/>
        <s v="July"/>
        <s v="October"/>
      </sharedItems>
    </cacheField>
    <cacheField name="Discharge Date" numFmtId="14">
      <sharedItems containsSemiMixedTypes="0" containsNonDate="0" containsDate="1" containsString="0" minDate="2025-01-02T00:00:00" maxDate="2026-01-16T00:00:00"/>
    </cacheField>
    <cacheField name="Stay Days" numFmtId="1">
      <sharedItems containsSemiMixedTypes="0" containsString="0" containsNumber="1" containsInteger="1" minValue="1" maxValue="15"/>
    </cacheField>
    <cacheField name="Bill" numFmtId="165">
      <sharedItems containsSemiMixedTypes="0" containsString="0" containsNumber="1" containsInteger="1" minValue="4027" maxValue="179370"/>
    </cacheField>
  </cacheFields>
  <extLst>
    <ext xmlns:x14="http://schemas.microsoft.com/office/spreadsheetml/2009/9/main" uri="{725AE2AE-9491-48be-B2B4-4EB974FC3084}">
      <x14:pivotCacheDefinition pivotCacheId="1494456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0001"/>
    <s v="Kiran Khan"/>
    <n v="56"/>
    <x v="0"/>
    <x v="0"/>
    <x v="0"/>
    <d v="2025-12-03T00:00:00"/>
    <x v="0"/>
    <d v="2025-12-06T00:00:00"/>
    <n v="3"/>
    <n v="17019"/>
  </r>
  <r>
    <s v="P0002"/>
    <s v="Arjun Rather"/>
    <n v="42"/>
    <x v="1"/>
    <x v="1"/>
    <x v="1"/>
    <d v="2025-01-11T00:00:00"/>
    <x v="1"/>
    <d v="2025-01-19T00:00:00"/>
    <n v="8"/>
    <n v="32528"/>
  </r>
  <r>
    <s v="P0003"/>
    <s v="Priya Verma"/>
    <n v="28"/>
    <x v="0"/>
    <x v="2"/>
    <x v="2"/>
    <d v="2025-09-23T00:00:00"/>
    <x v="2"/>
    <d v="2025-10-06T00:00:00"/>
    <n v="13"/>
    <n v="116493"/>
  </r>
  <r>
    <s v="P0004"/>
    <s v="Imran Khan"/>
    <n v="2"/>
    <x v="1"/>
    <x v="3"/>
    <x v="3"/>
    <d v="2025-02-07T00:00:00"/>
    <x v="3"/>
    <d v="2025-02-10T00:00:00"/>
    <n v="3"/>
    <n v="21084"/>
  </r>
  <r>
    <s v="P0005"/>
    <s v="Kiran Rather"/>
    <n v="25"/>
    <x v="1"/>
    <x v="4"/>
    <x v="2"/>
    <d v="2025-03-02T00:00:00"/>
    <x v="4"/>
    <d v="2025-03-06T00:00:00"/>
    <n v="4"/>
    <n v="47036"/>
  </r>
  <r>
    <s v="P0006"/>
    <s v="Priya Sharma"/>
    <n v="9"/>
    <x v="1"/>
    <x v="5"/>
    <x v="4"/>
    <d v="2025-04-05T00:00:00"/>
    <x v="5"/>
    <d v="2025-04-12T00:00:00"/>
    <n v="7"/>
    <n v="78869"/>
  </r>
  <r>
    <s v="P0007"/>
    <s v="Rohit Malik"/>
    <n v="4"/>
    <x v="1"/>
    <x v="3"/>
    <x v="4"/>
    <d v="2025-05-19T00:00:00"/>
    <x v="6"/>
    <d v="2025-05-25T00:00:00"/>
    <n v="6"/>
    <n v="54540"/>
  </r>
  <r>
    <s v="P0008"/>
    <s v="Arjun Khan"/>
    <n v="67"/>
    <x v="1"/>
    <x v="6"/>
    <x v="0"/>
    <d v="2025-04-07T00:00:00"/>
    <x v="5"/>
    <d v="2025-04-15T00:00:00"/>
    <n v="8"/>
    <n v="50416"/>
  </r>
  <r>
    <s v="P0009"/>
    <s v="Arjun Kumar"/>
    <n v="11"/>
    <x v="0"/>
    <x v="6"/>
    <x v="5"/>
    <d v="2025-02-22T00:00:00"/>
    <x v="3"/>
    <d v="2025-02-25T00:00:00"/>
    <n v="3"/>
    <n v="23016"/>
  </r>
  <r>
    <s v="P0010"/>
    <s v="Priya Ali"/>
    <n v="31"/>
    <x v="0"/>
    <x v="7"/>
    <x v="5"/>
    <d v="2025-06-02T00:00:00"/>
    <x v="7"/>
    <d v="2025-06-13T00:00:00"/>
    <n v="11"/>
    <n v="72424"/>
  </r>
  <r>
    <s v="P0011"/>
    <s v="Priya Malik"/>
    <n v="87"/>
    <x v="1"/>
    <x v="8"/>
    <x v="5"/>
    <d v="2025-05-26T00:00:00"/>
    <x v="6"/>
    <d v="2025-06-01T00:00:00"/>
    <n v="6"/>
    <n v="65796"/>
  </r>
  <r>
    <s v="P0012"/>
    <s v="Priya Kapoor"/>
    <n v="88"/>
    <x v="1"/>
    <x v="5"/>
    <x v="1"/>
    <d v="2025-01-27T00:00:00"/>
    <x v="1"/>
    <d v="2025-01-28T00:00:00"/>
    <n v="1"/>
    <n v="9441"/>
  </r>
  <r>
    <s v="P0013"/>
    <s v="Imran Kapoor"/>
    <n v="73"/>
    <x v="0"/>
    <x v="6"/>
    <x v="3"/>
    <d v="2025-09-09T00:00:00"/>
    <x v="2"/>
    <d v="2025-09-10T00:00:00"/>
    <n v="1"/>
    <n v="8055"/>
  </r>
  <r>
    <s v="P0014"/>
    <s v="Rahul Ali"/>
    <n v="25"/>
    <x v="0"/>
    <x v="7"/>
    <x v="4"/>
    <d v="2025-08-06T00:00:00"/>
    <x v="8"/>
    <d v="2025-08-07T00:00:00"/>
    <n v="1"/>
    <n v="4070"/>
  </r>
  <r>
    <s v="P0015"/>
    <s v="Mehak Malik"/>
    <n v="28"/>
    <x v="0"/>
    <x v="6"/>
    <x v="4"/>
    <d v="2025-08-21T00:00:00"/>
    <x v="8"/>
    <d v="2025-09-02T00:00:00"/>
    <n v="12"/>
    <n v="100296"/>
  </r>
  <r>
    <s v="P0016"/>
    <s v="Zara Gupta"/>
    <n v="20"/>
    <x v="0"/>
    <x v="1"/>
    <x v="6"/>
    <d v="2025-11-07T00:00:00"/>
    <x v="9"/>
    <d v="2025-11-10T00:00:00"/>
    <n v="3"/>
    <n v="30669"/>
  </r>
  <r>
    <s v="P0017"/>
    <s v="Imran Verma"/>
    <n v="3"/>
    <x v="1"/>
    <x v="5"/>
    <x v="7"/>
    <d v="2025-05-22T00:00:00"/>
    <x v="6"/>
    <d v="2025-05-30T00:00:00"/>
    <n v="8"/>
    <n v="35360"/>
  </r>
  <r>
    <s v="P0018"/>
    <s v="Pooja Kumar"/>
    <n v="30"/>
    <x v="0"/>
    <x v="8"/>
    <x v="5"/>
    <d v="2025-07-16T00:00:00"/>
    <x v="10"/>
    <d v="2025-07-23T00:00:00"/>
    <n v="7"/>
    <n v="72527"/>
  </r>
  <r>
    <s v="P0019"/>
    <s v="Priya Gupta"/>
    <n v="24"/>
    <x v="1"/>
    <x v="8"/>
    <x v="2"/>
    <d v="2025-07-20T00:00:00"/>
    <x v="10"/>
    <d v="2025-08-02T00:00:00"/>
    <n v="13"/>
    <n v="140725"/>
  </r>
  <r>
    <s v="P0020"/>
    <s v="Mehak Ali"/>
    <n v="23"/>
    <x v="0"/>
    <x v="0"/>
    <x v="1"/>
    <d v="2025-07-30T00:00:00"/>
    <x v="10"/>
    <d v="2025-08-11T00:00:00"/>
    <n v="12"/>
    <n v="133740"/>
  </r>
  <r>
    <s v="P0021"/>
    <s v="Sara Verma"/>
    <n v="22"/>
    <x v="1"/>
    <x v="7"/>
    <x v="4"/>
    <d v="2025-09-30T00:00:00"/>
    <x v="2"/>
    <d v="2025-10-05T00:00:00"/>
    <n v="5"/>
    <n v="45900"/>
  </r>
  <r>
    <s v="P0022"/>
    <s v="Adil Verma"/>
    <n v="48"/>
    <x v="1"/>
    <x v="3"/>
    <x v="1"/>
    <d v="2025-10-21T00:00:00"/>
    <x v="11"/>
    <d v="2025-10-24T00:00:00"/>
    <n v="3"/>
    <n v="28968"/>
  </r>
  <r>
    <s v="P0023"/>
    <s v="Zara Sharma"/>
    <n v="59"/>
    <x v="1"/>
    <x v="3"/>
    <x v="0"/>
    <d v="2025-09-19T00:00:00"/>
    <x v="2"/>
    <d v="2025-10-02T00:00:00"/>
    <n v="13"/>
    <n v="137761"/>
  </r>
  <r>
    <s v="P0024"/>
    <s v="Pooja Rather"/>
    <n v="6"/>
    <x v="1"/>
    <x v="4"/>
    <x v="5"/>
    <d v="2025-11-27T00:00:00"/>
    <x v="9"/>
    <d v="2025-12-03T00:00:00"/>
    <n v="6"/>
    <n v="51582"/>
  </r>
  <r>
    <s v="P0025"/>
    <s v="Neha Kumar"/>
    <n v="88"/>
    <x v="0"/>
    <x v="7"/>
    <x v="3"/>
    <d v="2025-06-15T00:00:00"/>
    <x v="7"/>
    <d v="2025-06-20T00:00:00"/>
    <n v="5"/>
    <n v="50795"/>
  </r>
  <r>
    <s v="P0026"/>
    <s v="Rohit Malik"/>
    <n v="67"/>
    <x v="0"/>
    <x v="8"/>
    <x v="0"/>
    <d v="2025-01-23T00:00:00"/>
    <x v="1"/>
    <d v="2025-01-31T00:00:00"/>
    <n v="8"/>
    <n v="49008"/>
  </r>
  <r>
    <s v="P0027"/>
    <s v="Arjun Rather"/>
    <n v="53"/>
    <x v="1"/>
    <x v="8"/>
    <x v="1"/>
    <d v="2025-03-23T00:00:00"/>
    <x v="4"/>
    <d v="2025-03-25T00:00:00"/>
    <n v="2"/>
    <n v="21046"/>
  </r>
  <r>
    <s v="P0028"/>
    <s v="Anita Khan"/>
    <n v="28"/>
    <x v="1"/>
    <x v="8"/>
    <x v="2"/>
    <d v="2025-02-02T00:00:00"/>
    <x v="3"/>
    <d v="2025-02-06T00:00:00"/>
    <n v="4"/>
    <n v="47856"/>
  </r>
  <r>
    <s v="P0029"/>
    <s v="Zara Singh"/>
    <n v="69"/>
    <x v="1"/>
    <x v="2"/>
    <x v="3"/>
    <d v="2025-01-24T00:00:00"/>
    <x v="1"/>
    <d v="2025-01-29T00:00:00"/>
    <n v="5"/>
    <n v="32990"/>
  </r>
  <r>
    <s v="P0030"/>
    <s v="Priya Rather"/>
    <n v="77"/>
    <x v="0"/>
    <x v="5"/>
    <x v="7"/>
    <d v="2025-09-03T00:00:00"/>
    <x v="2"/>
    <d v="2025-09-14T00:00:00"/>
    <n v="11"/>
    <n v="76351"/>
  </r>
  <r>
    <s v="P0031"/>
    <s v="Imran Verma"/>
    <n v="83"/>
    <x v="0"/>
    <x v="8"/>
    <x v="4"/>
    <d v="2025-04-01T00:00:00"/>
    <x v="5"/>
    <d v="2025-04-02T00:00:00"/>
    <n v="1"/>
    <n v="5290"/>
  </r>
  <r>
    <s v="P0032"/>
    <s v="Rohit Ali"/>
    <n v="73"/>
    <x v="0"/>
    <x v="4"/>
    <x v="0"/>
    <d v="2025-04-19T00:00:00"/>
    <x v="5"/>
    <d v="2025-04-24T00:00:00"/>
    <n v="5"/>
    <n v="29410"/>
  </r>
  <r>
    <s v="P0033"/>
    <s v="Imran Kumar"/>
    <n v="87"/>
    <x v="1"/>
    <x v="6"/>
    <x v="2"/>
    <d v="2025-09-04T00:00:00"/>
    <x v="2"/>
    <d v="2025-09-19T00:00:00"/>
    <n v="15"/>
    <n v="169050"/>
  </r>
  <r>
    <s v="P0034"/>
    <s v="Zara Malik"/>
    <n v="36"/>
    <x v="0"/>
    <x v="5"/>
    <x v="2"/>
    <d v="2025-09-16T00:00:00"/>
    <x v="2"/>
    <d v="2025-09-27T00:00:00"/>
    <n v="11"/>
    <n v="83446"/>
  </r>
  <r>
    <s v="P0035"/>
    <s v="Arjun Kumar"/>
    <n v="35"/>
    <x v="1"/>
    <x v="3"/>
    <x v="3"/>
    <d v="2025-11-10T00:00:00"/>
    <x v="9"/>
    <d v="2025-11-25T00:00:00"/>
    <n v="15"/>
    <n v="161385"/>
  </r>
  <r>
    <s v="P0036"/>
    <s v="Rahul Singh"/>
    <n v="60"/>
    <x v="0"/>
    <x v="8"/>
    <x v="0"/>
    <d v="2025-08-19T00:00:00"/>
    <x v="8"/>
    <d v="2025-08-23T00:00:00"/>
    <n v="4"/>
    <n v="36696"/>
  </r>
  <r>
    <s v="P0037"/>
    <s v="Anita Ali"/>
    <n v="62"/>
    <x v="1"/>
    <x v="8"/>
    <x v="0"/>
    <d v="2025-01-12T00:00:00"/>
    <x v="1"/>
    <d v="2025-01-19T00:00:00"/>
    <n v="7"/>
    <n v="64491"/>
  </r>
  <r>
    <s v="P0038"/>
    <s v="Anita Gupta"/>
    <n v="79"/>
    <x v="1"/>
    <x v="1"/>
    <x v="4"/>
    <d v="2025-04-20T00:00:00"/>
    <x v="5"/>
    <d v="2025-04-22T00:00:00"/>
    <n v="2"/>
    <n v="22200"/>
  </r>
  <r>
    <s v="P0039"/>
    <s v="Rohit Ali"/>
    <n v="90"/>
    <x v="0"/>
    <x v="9"/>
    <x v="6"/>
    <d v="2025-12-19T00:00:00"/>
    <x v="0"/>
    <d v="2025-12-20T00:00:00"/>
    <n v="1"/>
    <n v="7198"/>
  </r>
  <r>
    <s v="P0040"/>
    <s v="Sara Ali"/>
    <n v="8"/>
    <x v="1"/>
    <x v="2"/>
    <x v="5"/>
    <d v="2025-08-17T00:00:00"/>
    <x v="8"/>
    <d v="2025-08-27T00:00:00"/>
    <n v="10"/>
    <n v="116070"/>
  </r>
  <r>
    <s v="P0041"/>
    <s v="Sara Verma"/>
    <n v="81"/>
    <x v="1"/>
    <x v="3"/>
    <x v="4"/>
    <d v="2025-01-28T00:00:00"/>
    <x v="1"/>
    <d v="2025-02-02T00:00:00"/>
    <n v="5"/>
    <n v="45295"/>
  </r>
  <r>
    <s v="P0042"/>
    <s v="Vikas Khan"/>
    <n v="61"/>
    <x v="0"/>
    <x v="7"/>
    <x v="5"/>
    <d v="2025-01-10T00:00:00"/>
    <x v="1"/>
    <d v="2025-01-16T00:00:00"/>
    <n v="6"/>
    <n v="46962"/>
  </r>
  <r>
    <s v="P0043"/>
    <s v="Arjun Singh"/>
    <n v="10"/>
    <x v="1"/>
    <x v="2"/>
    <x v="4"/>
    <d v="2025-06-27T00:00:00"/>
    <x v="7"/>
    <d v="2025-07-08T00:00:00"/>
    <n v="11"/>
    <n v="58355"/>
  </r>
  <r>
    <s v="P0044"/>
    <s v="Pooja Kumar"/>
    <n v="68"/>
    <x v="1"/>
    <x v="9"/>
    <x v="3"/>
    <d v="2025-07-27T00:00:00"/>
    <x v="10"/>
    <d v="2025-07-31T00:00:00"/>
    <n v="4"/>
    <n v="36504"/>
  </r>
  <r>
    <s v="P0045"/>
    <s v="Mehak Sharma"/>
    <n v="21"/>
    <x v="0"/>
    <x v="6"/>
    <x v="3"/>
    <d v="2025-11-14T00:00:00"/>
    <x v="9"/>
    <d v="2025-11-18T00:00:00"/>
    <n v="4"/>
    <n v="16600"/>
  </r>
  <r>
    <s v="P0046"/>
    <s v="Aman Ali"/>
    <n v="34"/>
    <x v="1"/>
    <x v="5"/>
    <x v="4"/>
    <d v="2025-02-16T00:00:00"/>
    <x v="3"/>
    <d v="2025-02-23T00:00:00"/>
    <n v="7"/>
    <n v="78148"/>
  </r>
  <r>
    <s v="P0047"/>
    <s v="Neha Ali"/>
    <n v="22"/>
    <x v="0"/>
    <x v="5"/>
    <x v="7"/>
    <d v="2025-05-24T00:00:00"/>
    <x v="6"/>
    <d v="2025-06-01T00:00:00"/>
    <n v="8"/>
    <n v="41192"/>
  </r>
  <r>
    <s v="P0048"/>
    <s v="Anita Singh"/>
    <n v="71"/>
    <x v="1"/>
    <x v="3"/>
    <x v="1"/>
    <d v="2025-08-29T00:00:00"/>
    <x v="8"/>
    <d v="2025-09-12T00:00:00"/>
    <n v="14"/>
    <n v="65142"/>
  </r>
  <r>
    <s v="P0049"/>
    <s v="Imran Malik"/>
    <n v="28"/>
    <x v="1"/>
    <x v="4"/>
    <x v="0"/>
    <d v="2025-01-08T00:00:00"/>
    <x v="1"/>
    <d v="2025-01-10T00:00:00"/>
    <n v="2"/>
    <n v="8162"/>
  </r>
  <r>
    <s v="P0050"/>
    <s v="Neha Kumar"/>
    <n v="40"/>
    <x v="1"/>
    <x v="1"/>
    <x v="5"/>
    <d v="2025-12-04T00:00:00"/>
    <x v="0"/>
    <d v="2025-12-08T00:00:00"/>
    <n v="4"/>
    <n v="24028"/>
  </r>
  <r>
    <s v="P0051"/>
    <s v="Imran Rather"/>
    <n v="75"/>
    <x v="1"/>
    <x v="7"/>
    <x v="4"/>
    <d v="2025-09-22T00:00:00"/>
    <x v="2"/>
    <d v="2025-09-25T00:00:00"/>
    <n v="3"/>
    <n v="33387"/>
  </r>
  <r>
    <s v="P0052"/>
    <s v="Rahul Rather"/>
    <n v="39"/>
    <x v="1"/>
    <x v="3"/>
    <x v="3"/>
    <d v="2025-12-15T00:00:00"/>
    <x v="0"/>
    <d v="2025-12-25T00:00:00"/>
    <n v="10"/>
    <n v="70540"/>
  </r>
  <r>
    <s v="P0053"/>
    <s v="Sara Malik"/>
    <n v="36"/>
    <x v="0"/>
    <x v="6"/>
    <x v="0"/>
    <d v="2025-09-25T00:00:00"/>
    <x v="2"/>
    <d v="2025-10-10T00:00:00"/>
    <n v="15"/>
    <n v="161925"/>
  </r>
  <r>
    <s v="P0054"/>
    <s v="Arjun Singh"/>
    <n v="73"/>
    <x v="0"/>
    <x v="3"/>
    <x v="7"/>
    <d v="2025-10-14T00:00:00"/>
    <x v="11"/>
    <d v="2025-10-17T00:00:00"/>
    <n v="3"/>
    <n v="32340"/>
  </r>
  <r>
    <s v="P0055"/>
    <s v="Zara Kumar"/>
    <n v="79"/>
    <x v="1"/>
    <x v="4"/>
    <x v="5"/>
    <d v="2025-06-01T00:00:00"/>
    <x v="7"/>
    <d v="2025-06-14T00:00:00"/>
    <n v="13"/>
    <n v="98137"/>
  </r>
  <r>
    <s v="P0056"/>
    <s v="Priya Kumar"/>
    <n v="65"/>
    <x v="0"/>
    <x v="3"/>
    <x v="2"/>
    <d v="2025-04-16T00:00:00"/>
    <x v="5"/>
    <d v="2025-04-18T00:00:00"/>
    <n v="2"/>
    <n v="17530"/>
  </r>
  <r>
    <s v="P0057"/>
    <s v="Kiran Malik"/>
    <n v="81"/>
    <x v="0"/>
    <x v="3"/>
    <x v="4"/>
    <d v="2025-03-05T00:00:00"/>
    <x v="4"/>
    <d v="2025-03-07T00:00:00"/>
    <n v="2"/>
    <n v="13930"/>
  </r>
  <r>
    <s v="P0058"/>
    <s v="Vikas Khan"/>
    <n v="52"/>
    <x v="1"/>
    <x v="1"/>
    <x v="3"/>
    <d v="2025-03-20T00:00:00"/>
    <x v="4"/>
    <d v="2025-04-02T00:00:00"/>
    <n v="13"/>
    <n v="125242"/>
  </r>
  <r>
    <s v="P0059"/>
    <s v="Adil Malik"/>
    <n v="61"/>
    <x v="1"/>
    <x v="9"/>
    <x v="4"/>
    <d v="2025-05-23T00:00:00"/>
    <x v="6"/>
    <d v="2025-05-29T00:00:00"/>
    <n v="6"/>
    <n v="45582"/>
  </r>
  <r>
    <s v="P0060"/>
    <s v="Neha Sharma"/>
    <n v="48"/>
    <x v="0"/>
    <x v="8"/>
    <x v="4"/>
    <d v="2025-02-05T00:00:00"/>
    <x v="3"/>
    <d v="2025-02-20T00:00:00"/>
    <n v="15"/>
    <n v="127710"/>
  </r>
  <r>
    <s v="P0061"/>
    <s v="Imran Rather"/>
    <n v="29"/>
    <x v="0"/>
    <x v="5"/>
    <x v="2"/>
    <d v="2025-05-17T00:00:00"/>
    <x v="6"/>
    <d v="2025-05-19T00:00:00"/>
    <n v="2"/>
    <n v="10778"/>
  </r>
  <r>
    <s v="P0062"/>
    <s v="Rohit Gupta"/>
    <n v="19"/>
    <x v="1"/>
    <x v="2"/>
    <x v="6"/>
    <d v="2025-11-19T00:00:00"/>
    <x v="9"/>
    <d v="2025-12-03T00:00:00"/>
    <n v="14"/>
    <n v="154966"/>
  </r>
  <r>
    <s v="P0063"/>
    <s v="Zara Rather"/>
    <n v="49"/>
    <x v="0"/>
    <x v="1"/>
    <x v="2"/>
    <d v="2025-02-07T00:00:00"/>
    <x v="3"/>
    <d v="2025-02-10T00:00:00"/>
    <n v="3"/>
    <n v="35943"/>
  </r>
  <r>
    <s v="P0064"/>
    <s v="Anita Sharma"/>
    <n v="39"/>
    <x v="1"/>
    <x v="3"/>
    <x v="7"/>
    <d v="2025-02-02T00:00:00"/>
    <x v="3"/>
    <d v="2025-02-11T00:00:00"/>
    <n v="9"/>
    <n v="43083"/>
  </r>
  <r>
    <s v="P0065"/>
    <s v="Adil Kapoor"/>
    <n v="89"/>
    <x v="0"/>
    <x v="9"/>
    <x v="3"/>
    <d v="2025-08-22T00:00:00"/>
    <x v="8"/>
    <d v="2025-08-27T00:00:00"/>
    <n v="5"/>
    <n v="47870"/>
  </r>
  <r>
    <s v="P0066"/>
    <s v="Kiran Malik"/>
    <n v="66"/>
    <x v="0"/>
    <x v="4"/>
    <x v="1"/>
    <d v="2025-01-07T00:00:00"/>
    <x v="1"/>
    <d v="2025-01-09T00:00:00"/>
    <n v="2"/>
    <n v="19432"/>
  </r>
  <r>
    <s v="P0067"/>
    <s v="Rohit Kapoor"/>
    <n v="62"/>
    <x v="1"/>
    <x v="8"/>
    <x v="1"/>
    <d v="2025-07-25T00:00:00"/>
    <x v="10"/>
    <d v="2025-07-30T00:00:00"/>
    <n v="5"/>
    <n v="44215"/>
  </r>
  <r>
    <s v="P0068"/>
    <s v="Imran Kapoor"/>
    <n v="18"/>
    <x v="0"/>
    <x v="5"/>
    <x v="2"/>
    <d v="2025-10-06T00:00:00"/>
    <x v="11"/>
    <d v="2025-10-08T00:00:00"/>
    <n v="2"/>
    <n v="16430"/>
  </r>
  <r>
    <s v="P0069"/>
    <s v="Anita Kapoor"/>
    <n v="23"/>
    <x v="0"/>
    <x v="8"/>
    <x v="6"/>
    <d v="2025-07-30T00:00:00"/>
    <x v="10"/>
    <d v="2025-08-10T00:00:00"/>
    <n v="11"/>
    <n v="85393"/>
  </r>
  <r>
    <s v="P0070"/>
    <s v="Kiran Sharma"/>
    <n v="20"/>
    <x v="1"/>
    <x v="6"/>
    <x v="2"/>
    <d v="2025-12-14T00:00:00"/>
    <x v="0"/>
    <d v="2025-12-21T00:00:00"/>
    <n v="7"/>
    <n v="50498"/>
  </r>
  <r>
    <s v="P0071"/>
    <s v="Sara Gupta"/>
    <n v="48"/>
    <x v="0"/>
    <x v="7"/>
    <x v="0"/>
    <d v="2025-01-23T00:00:00"/>
    <x v="1"/>
    <d v="2025-02-07T00:00:00"/>
    <n v="15"/>
    <n v="74100"/>
  </r>
  <r>
    <s v="P0072"/>
    <s v="Vikas Kumar"/>
    <n v="47"/>
    <x v="1"/>
    <x v="8"/>
    <x v="4"/>
    <d v="2025-06-24T00:00:00"/>
    <x v="7"/>
    <d v="2025-07-09T00:00:00"/>
    <n v="15"/>
    <n v="163695"/>
  </r>
  <r>
    <s v="P0073"/>
    <s v="Vikas Rather"/>
    <n v="80"/>
    <x v="1"/>
    <x v="4"/>
    <x v="4"/>
    <d v="2025-09-17T00:00:00"/>
    <x v="2"/>
    <d v="2025-09-24T00:00:00"/>
    <n v="7"/>
    <n v="49623"/>
  </r>
  <r>
    <s v="P0074"/>
    <s v="Imran Singh"/>
    <n v="81"/>
    <x v="1"/>
    <x v="5"/>
    <x v="1"/>
    <d v="2025-02-09T00:00:00"/>
    <x v="3"/>
    <d v="2025-02-22T00:00:00"/>
    <n v="13"/>
    <n v="129142"/>
  </r>
  <r>
    <s v="P0075"/>
    <s v="Aman Ali"/>
    <n v="76"/>
    <x v="0"/>
    <x v="0"/>
    <x v="4"/>
    <d v="2025-09-06T00:00:00"/>
    <x v="2"/>
    <d v="2025-09-12T00:00:00"/>
    <n v="6"/>
    <n v="55662"/>
  </r>
  <r>
    <s v="P0076"/>
    <s v="Priya Kumar"/>
    <n v="63"/>
    <x v="0"/>
    <x v="8"/>
    <x v="3"/>
    <d v="2025-08-12T00:00:00"/>
    <x v="8"/>
    <d v="2025-08-14T00:00:00"/>
    <n v="2"/>
    <n v="10664"/>
  </r>
  <r>
    <s v="P0077"/>
    <s v="Imran Ali"/>
    <n v="68"/>
    <x v="0"/>
    <x v="6"/>
    <x v="4"/>
    <d v="2025-01-16T00:00:00"/>
    <x v="1"/>
    <d v="2025-01-29T00:00:00"/>
    <n v="13"/>
    <n v="75504"/>
  </r>
  <r>
    <s v="P0078"/>
    <s v="Anita Ali"/>
    <n v="78"/>
    <x v="0"/>
    <x v="6"/>
    <x v="6"/>
    <d v="2025-02-26T00:00:00"/>
    <x v="3"/>
    <d v="2025-03-13T00:00:00"/>
    <n v="15"/>
    <n v="148350"/>
  </r>
  <r>
    <s v="P0079"/>
    <s v="Pooja Singh"/>
    <n v="13"/>
    <x v="0"/>
    <x v="7"/>
    <x v="3"/>
    <d v="2025-07-27T00:00:00"/>
    <x v="10"/>
    <d v="2025-07-29T00:00:00"/>
    <n v="2"/>
    <n v="21730"/>
  </r>
  <r>
    <s v="P0080"/>
    <s v="Priya Sharma"/>
    <n v="56"/>
    <x v="0"/>
    <x v="8"/>
    <x v="5"/>
    <d v="2025-10-13T00:00:00"/>
    <x v="11"/>
    <d v="2025-10-16T00:00:00"/>
    <n v="3"/>
    <n v="17433"/>
  </r>
  <r>
    <s v="P0081"/>
    <s v="Priya Rather"/>
    <n v="50"/>
    <x v="0"/>
    <x v="7"/>
    <x v="1"/>
    <d v="2025-10-06T00:00:00"/>
    <x v="11"/>
    <d v="2025-10-18T00:00:00"/>
    <n v="12"/>
    <n v="138456"/>
  </r>
  <r>
    <s v="P0082"/>
    <s v="Vikas Khan"/>
    <n v="90"/>
    <x v="0"/>
    <x v="1"/>
    <x v="3"/>
    <d v="2025-11-22T00:00:00"/>
    <x v="9"/>
    <d v="2025-11-24T00:00:00"/>
    <n v="2"/>
    <n v="21558"/>
  </r>
  <r>
    <s v="P0083"/>
    <s v="Sara Rather"/>
    <n v="32"/>
    <x v="1"/>
    <x v="9"/>
    <x v="4"/>
    <d v="2025-09-07T00:00:00"/>
    <x v="2"/>
    <d v="2025-09-22T00:00:00"/>
    <n v="15"/>
    <n v="69480"/>
  </r>
  <r>
    <s v="P0084"/>
    <s v="Sara Sharma"/>
    <n v="31"/>
    <x v="0"/>
    <x v="2"/>
    <x v="5"/>
    <d v="2025-08-27T00:00:00"/>
    <x v="8"/>
    <d v="2025-08-31T00:00:00"/>
    <n v="4"/>
    <n v="30972"/>
  </r>
  <r>
    <s v="P0085"/>
    <s v="Sara Malik"/>
    <n v="40"/>
    <x v="1"/>
    <x v="3"/>
    <x v="0"/>
    <d v="2025-06-09T00:00:00"/>
    <x v="7"/>
    <d v="2025-06-17T00:00:00"/>
    <n v="8"/>
    <n v="47360"/>
  </r>
  <r>
    <s v="P0086"/>
    <s v="Adil Kumar"/>
    <n v="46"/>
    <x v="0"/>
    <x v="5"/>
    <x v="0"/>
    <d v="2025-11-12T00:00:00"/>
    <x v="9"/>
    <d v="2025-11-14T00:00:00"/>
    <n v="2"/>
    <n v="14318"/>
  </r>
  <r>
    <s v="P0087"/>
    <s v="Vikas Khan"/>
    <n v="38"/>
    <x v="1"/>
    <x v="5"/>
    <x v="5"/>
    <d v="2025-07-17T00:00:00"/>
    <x v="10"/>
    <d v="2025-07-28T00:00:00"/>
    <n v="11"/>
    <n v="45276"/>
  </r>
  <r>
    <s v="P0088"/>
    <s v="Imran Ali"/>
    <n v="53"/>
    <x v="1"/>
    <x v="2"/>
    <x v="7"/>
    <d v="2025-12-21T00:00:00"/>
    <x v="0"/>
    <d v="2026-01-03T00:00:00"/>
    <n v="13"/>
    <n v="57122"/>
  </r>
  <r>
    <s v="P0089"/>
    <s v="Kiran Kumar"/>
    <n v="57"/>
    <x v="1"/>
    <x v="8"/>
    <x v="1"/>
    <d v="2025-10-21T00:00:00"/>
    <x v="11"/>
    <d v="2025-10-31T00:00:00"/>
    <n v="10"/>
    <n v="70500"/>
  </r>
  <r>
    <s v="P0090"/>
    <s v="Pooja Sharma"/>
    <n v="74"/>
    <x v="0"/>
    <x v="3"/>
    <x v="2"/>
    <d v="2025-02-28T00:00:00"/>
    <x v="3"/>
    <d v="2025-03-11T00:00:00"/>
    <n v="11"/>
    <n v="128304"/>
  </r>
  <r>
    <s v="P0091"/>
    <s v="Rahul Kumar"/>
    <n v="60"/>
    <x v="1"/>
    <x v="7"/>
    <x v="2"/>
    <d v="2025-11-15T00:00:00"/>
    <x v="9"/>
    <d v="2025-11-28T00:00:00"/>
    <n v="13"/>
    <n v="113828"/>
  </r>
  <r>
    <s v="P0092"/>
    <s v="Rahul Kapoor"/>
    <n v="44"/>
    <x v="1"/>
    <x v="5"/>
    <x v="6"/>
    <d v="2025-04-24T00:00:00"/>
    <x v="5"/>
    <d v="2025-05-04T00:00:00"/>
    <n v="10"/>
    <n v="93830"/>
  </r>
  <r>
    <s v="P0093"/>
    <s v="Rahul Kumar"/>
    <n v="68"/>
    <x v="1"/>
    <x v="2"/>
    <x v="7"/>
    <d v="2025-03-24T00:00:00"/>
    <x v="4"/>
    <d v="2025-03-28T00:00:00"/>
    <n v="4"/>
    <n v="44476"/>
  </r>
  <r>
    <s v="P0094"/>
    <s v="Vikas Khan"/>
    <n v="73"/>
    <x v="1"/>
    <x v="5"/>
    <x v="0"/>
    <d v="2025-07-02T00:00:00"/>
    <x v="10"/>
    <d v="2025-07-12T00:00:00"/>
    <n v="10"/>
    <n v="106910"/>
  </r>
  <r>
    <s v="P0095"/>
    <s v="Priya Gupta"/>
    <n v="72"/>
    <x v="0"/>
    <x v="9"/>
    <x v="2"/>
    <d v="2025-12-07T00:00:00"/>
    <x v="0"/>
    <d v="2025-12-12T00:00:00"/>
    <n v="5"/>
    <n v="53485"/>
  </r>
  <r>
    <s v="P0096"/>
    <s v="Mehak Rather"/>
    <n v="70"/>
    <x v="0"/>
    <x v="4"/>
    <x v="3"/>
    <d v="2025-06-01T00:00:00"/>
    <x v="7"/>
    <d v="2025-06-04T00:00:00"/>
    <n v="3"/>
    <n v="33045"/>
  </r>
  <r>
    <s v="P0097"/>
    <s v="Rohit Kapoor"/>
    <n v="70"/>
    <x v="0"/>
    <x v="3"/>
    <x v="1"/>
    <d v="2025-04-28T00:00:00"/>
    <x v="5"/>
    <d v="2025-05-06T00:00:00"/>
    <n v="8"/>
    <n v="46896"/>
  </r>
  <r>
    <s v="P0098"/>
    <s v="Mehak Verma"/>
    <n v="64"/>
    <x v="1"/>
    <x v="6"/>
    <x v="3"/>
    <d v="2025-06-09T00:00:00"/>
    <x v="7"/>
    <d v="2025-06-23T00:00:00"/>
    <n v="14"/>
    <n v="93520"/>
  </r>
  <r>
    <s v="P0099"/>
    <s v="Mehak Khan"/>
    <n v="82"/>
    <x v="0"/>
    <x v="2"/>
    <x v="7"/>
    <d v="2025-08-04T00:00:00"/>
    <x v="8"/>
    <d v="2025-08-10T00:00:00"/>
    <n v="6"/>
    <n v="49950"/>
  </r>
  <r>
    <s v="P0100"/>
    <s v="Aman Rather"/>
    <n v="72"/>
    <x v="0"/>
    <x v="8"/>
    <x v="6"/>
    <d v="2025-12-01T00:00:00"/>
    <x v="0"/>
    <d v="2025-12-13T00:00:00"/>
    <n v="12"/>
    <n v="128004"/>
  </r>
  <r>
    <s v="P0101"/>
    <s v="Priya Gupta"/>
    <n v="21"/>
    <x v="1"/>
    <x v="6"/>
    <x v="1"/>
    <d v="2025-09-13T00:00:00"/>
    <x v="2"/>
    <d v="2025-09-15T00:00:00"/>
    <n v="2"/>
    <n v="11530"/>
  </r>
  <r>
    <s v="P0102"/>
    <s v="Adil Kumar"/>
    <n v="87"/>
    <x v="0"/>
    <x v="5"/>
    <x v="2"/>
    <d v="2025-12-16T00:00:00"/>
    <x v="0"/>
    <d v="2025-12-26T00:00:00"/>
    <n v="10"/>
    <n v="63420"/>
  </r>
  <r>
    <s v="P0103"/>
    <s v="Arjun Malik"/>
    <n v="66"/>
    <x v="0"/>
    <x v="2"/>
    <x v="2"/>
    <d v="2025-06-30T00:00:00"/>
    <x v="7"/>
    <d v="2025-07-12T00:00:00"/>
    <n v="12"/>
    <n v="83820"/>
  </r>
  <r>
    <s v="P0104"/>
    <s v="Vikas Singh"/>
    <n v="74"/>
    <x v="1"/>
    <x v="6"/>
    <x v="4"/>
    <d v="2025-06-11T00:00:00"/>
    <x v="7"/>
    <d v="2025-06-26T00:00:00"/>
    <n v="15"/>
    <n v="168975"/>
  </r>
  <r>
    <s v="P0105"/>
    <s v="Kiran Gupta"/>
    <n v="10"/>
    <x v="1"/>
    <x v="1"/>
    <x v="0"/>
    <d v="2025-10-07T00:00:00"/>
    <x v="11"/>
    <d v="2025-10-09T00:00:00"/>
    <n v="2"/>
    <n v="18190"/>
  </r>
  <r>
    <s v="P0106"/>
    <s v="Imran Rather"/>
    <n v="31"/>
    <x v="0"/>
    <x v="2"/>
    <x v="3"/>
    <d v="2025-10-09T00:00:00"/>
    <x v="11"/>
    <d v="2025-10-15T00:00:00"/>
    <n v="6"/>
    <n v="53124"/>
  </r>
  <r>
    <s v="P0107"/>
    <s v="Imran Verma"/>
    <n v="23"/>
    <x v="1"/>
    <x v="6"/>
    <x v="6"/>
    <d v="2025-11-21T00:00:00"/>
    <x v="9"/>
    <d v="2025-12-03T00:00:00"/>
    <n v="12"/>
    <n v="53556"/>
  </r>
  <r>
    <s v="P0108"/>
    <s v="Adil Kapoor"/>
    <n v="86"/>
    <x v="0"/>
    <x v="9"/>
    <x v="3"/>
    <d v="2025-12-31T00:00:00"/>
    <x v="0"/>
    <d v="2026-01-13T00:00:00"/>
    <n v="13"/>
    <n v="81822"/>
  </r>
  <r>
    <s v="P0109"/>
    <s v="Arjun Rather"/>
    <n v="85"/>
    <x v="0"/>
    <x v="1"/>
    <x v="0"/>
    <d v="2025-04-23T00:00:00"/>
    <x v="5"/>
    <d v="2025-04-28T00:00:00"/>
    <n v="5"/>
    <n v="54860"/>
  </r>
  <r>
    <s v="P0110"/>
    <s v="Pooja Ali"/>
    <n v="1"/>
    <x v="0"/>
    <x v="9"/>
    <x v="2"/>
    <d v="2025-07-24T00:00:00"/>
    <x v="10"/>
    <d v="2025-07-30T00:00:00"/>
    <n v="6"/>
    <n v="45756"/>
  </r>
  <r>
    <s v="P0111"/>
    <s v="Sara Rather"/>
    <n v="33"/>
    <x v="0"/>
    <x v="6"/>
    <x v="0"/>
    <d v="2025-08-23T00:00:00"/>
    <x v="8"/>
    <d v="2025-09-05T00:00:00"/>
    <n v="13"/>
    <n v="106197"/>
  </r>
  <r>
    <s v="P0112"/>
    <s v="Sara Khan"/>
    <n v="4"/>
    <x v="0"/>
    <x v="4"/>
    <x v="0"/>
    <d v="2025-02-17T00:00:00"/>
    <x v="3"/>
    <d v="2025-03-03T00:00:00"/>
    <n v="14"/>
    <n v="110628"/>
  </r>
  <r>
    <s v="P0113"/>
    <s v="Imran Kapoor"/>
    <n v="65"/>
    <x v="1"/>
    <x v="4"/>
    <x v="2"/>
    <d v="2025-05-01T00:00:00"/>
    <x v="6"/>
    <d v="2025-05-14T00:00:00"/>
    <n v="13"/>
    <n v="135564"/>
  </r>
  <r>
    <s v="P0114"/>
    <s v="Arjun Rather"/>
    <n v="14"/>
    <x v="0"/>
    <x v="0"/>
    <x v="0"/>
    <d v="2025-01-01T00:00:00"/>
    <x v="1"/>
    <d v="2025-01-06T00:00:00"/>
    <n v="5"/>
    <n v="50035"/>
  </r>
  <r>
    <s v="P0115"/>
    <s v="Adil Malik"/>
    <n v="51"/>
    <x v="1"/>
    <x v="0"/>
    <x v="2"/>
    <d v="2025-02-06T00:00:00"/>
    <x v="3"/>
    <d v="2025-02-10T00:00:00"/>
    <n v="4"/>
    <n v="32492"/>
  </r>
  <r>
    <s v="P0116"/>
    <s v="Rohit Kapoor"/>
    <n v="50"/>
    <x v="0"/>
    <x v="8"/>
    <x v="6"/>
    <d v="2025-08-12T00:00:00"/>
    <x v="8"/>
    <d v="2025-08-23T00:00:00"/>
    <n v="11"/>
    <n v="131472"/>
  </r>
  <r>
    <s v="P0117"/>
    <s v="Arjun Singh"/>
    <n v="29"/>
    <x v="1"/>
    <x v="7"/>
    <x v="5"/>
    <d v="2025-07-30T00:00:00"/>
    <x v="10"/>
    <d v="2025-08-11T00:00:00"/>
    <n v="12"/>
    <n v="139032"/>
  </r>
  <r>
    <s v="P0118"/>
    <s v="Aman Rather"/>
    <n v="48"/>
    <x v="0"/>
    <x v="1"/>
    <x v="5"/>
    <d v="2025-05-06T00:00:00"/>
    <x v="6"/>
    <d v="2025-05-10T00:00:00"/>
    <n v="4"/>
    <n v="32432"/>
  </r>
  <r>
    <s v="P0119"/>
    <s v="Imran Khan"/>
    <n v="60"/>
    <x v="0"/>
    <x v="2"/>
    <x v="7"/>
    <d v="2025-11-24T00:00:00"/>
    <x v="9"/>
    <d v="2025-12-09T00:00:00"/>
    <n v="15"/>
    <n v="81915"/>
  </r>
  <r>
    <s v="P0120"/>
    <s v="Mehak Khan"/>
    <n v="49"/>
    <x v="0"/>
    <x v="1"/>
    <x v="6"/>
    <d v="2025-12-13T00:00:00"/>
    <x v="0"/>
    <d v="2025-12-21T00:00:00"/>
    <n v="8"/>
    <n v="40744"/>
  </r>
  <r>
    <s v="P0121"/>
    <s v="Rahul Singh"/>
    <n v="29"/>
    <x v="1"/>
    <x v="4"/>
    <x v="4"/>
    <d v="2025-10-15T00:00:00"/>
    <x v="11"/>
    <d v="2025-10-22T00:00:00"/>
    <n v="7"/>
    <n v="71659"/>
  </r>
  <r>
    <s v="P0122"/>
    <s v="Vikas Ali"/>
    <n v="61"/>
    <x v="0"/>
    <x v="5"/>
    <x v="6"/>
    <d v="2025-05-04T00:00:00"/>
    <x v="6"/>
    <d v="2025-05-11T00:00:00"/>
    <n v="7"/>
    <n v="48468"/>
  </r>
  <r>
    <s v="P0123"/>
    <s v="Zara Singh"/>
    <n v="19"/>
    <x v="1"/>
    <x v="7"/>
    <x v="3"/>
    <d v="2025-01-08T00:00:00"/>
    <x v="1"/>
    <d v="2025-01-20T00:00:00"/>
    <n v="12"/>
    <n v="90084"/>
  </r>
  <r>
    <s v="P0124"/>
    <s v="Priya Ali"/>
    <n v="46"/>
    <x v="1"/>
    <x v="3"/>
    <x v="2"/>
    <d v="2025-03-30T00:00:00"/>
    <x v="4"/>
    <d v="2025-04-01T00:00:00"/>
    <n v="2"/>
    <n v="13502"/>
  </r>
  <r>
    <s v="P0125"/>
    <s v="Vikas Ali"/>
    <n v="60"/>
    <x v="1"/>
    <x v="0"/>
    <x v="3"/>
    <d v="2025-04-24T00:00:00"/>
    <x v="5"/>
    <d v="2025-04-30T00:00:00"/>
    <n v="6"/>
    <n v="29898"/>
  </r>
  <r>
    <s v="P0126"/>
    <s v="Aman Kumar"/>
    <n v="60"/>
    <x v="0"/>
    <x v="2"/>
    <x v="7"/>
    <d v="2025-04-07T00:00:00"/>
    <x v="5"/>
    <d v="2025-04-15T00:00:00"/>
    <n v="8"/>
    <n v="37232"/>
  </r>
  <r>
    <s v="P0127"/>
    <s v="Arjun Kapoor"/>
    <n v="36"/>
    <x v="0"/>
    <x v="0"/>
    <x v="6"/>
    <d v="2025-04-20T00:00:00"/>
    <x v="5"/>
    <d v="2025-05-01T00:00:00"/>
    <n v="11"/>
    <n v="112970"/>
  </r>
  <r>
    <s v="P0128"/>
    <s v="Aman Rather"/>
    <n v="20"/>
    <x v="0"/>
    <x v="5"/>
    <x v="2"/>
    <d v="2025-01-02T00:00:00"/>
    <x v="1"/>
    <d v="2025-01-12T00:00:00"/>
    <n v="10"/>
    <n v="112810"/>
  </r>
  <r>
    <s v="P0129"/>
    <s v="Adil Rather"/>
    <n v="72"/>
    <x v="1"/>
    <x v="9"/>
    <x v="7"/>
    <d v="2025-03-28T00:00:00"/>
    <x v="4"/>
    <d v="2025-03-30T00:00:00"/>
    <n v="2"/>
    <n v="11654"/>
  </r>
  <r>
    <s v="P0130"/>
    <s v="Vikas Rather"/>
    <n v="20"/>
    <x v="1"/>
    <x v="8"/>
    <x v="1"/>
    <d v="2025-10-25T00:00:00"/>
    <x v="11"/>
    <d v="2025-10-26T00:00:00"/>
    <n v="1"/>
    <n v="6788"/>
  </r>
  <r>
    <s v="P0131"/>
    <s v="Vikas Khan"/>
    <n v="19"/>
    <x v="0"/>
    <x v="5"/>
    <x v="1"/>
    <d v="2025-03-26T00:00:00"/>
    <x v="4"/>
    <d v="2025-04-05T00:00:00"/>
    <n v="10"/>
    <n v="75910"/>
  </r>
  <r>
    <s v="P0132"/>
    <s v="Rahul Gupta"/>
    <n v="7"/>
    <x v="0"/>
    <x v="9"/>
    <x v="2"/>
    <d v="2025-12-26T00:00:00"/>
    <x v="0"/>
    <d v="2026-01-09T00:00:00"/>
    <n v="14"/>
    <n v="88074"/>
  </r>
  <r>
    <s v="P0133"/>
    <s v="Mehak Gupta"/>
    <n v="11"/>
    <x v="1"/>
    <x v="5"/>
    <x v="7"/>
    <d v="2025-10-04T00:00:00"/>
    <x v="11"/>
    <d v="2025-10-12T00:00:00"/>
    <n v="8"/>
    <n v="85432"/>
  </r>
  <r>
    <s v="P0134"/>
    <s v="Aman Khan"/>
    <n v="12"/>
    <x v="1"/>
    <x v="6"/>
    <x v="3"/>
    <d v="2025-07-11T00:00:00"/>
    <x v="10"/>
    <d v="2025-07-23T00:00:00"/>
    <n v="12"/>
    <n v="110892"/>
  </r>
  <r>
    <s v="P0135"/>
    <s v="Mehak Kumar"/>
    <n v="38"/>
    <x v="0"/>
    <x v="9"/>
    <x v="1"/>
    <d v="2025-06-05T00:00:00"/>
    <x v="7"/>
    <d v="2025-06-06T00:00:00"/>
    <n v="1"/>
    <n v="10032"/>
  </r>
  <r>
    <s v="P0136"/>
    <s v="Rahul Rather"/>
    <n v="78"/>
    <x v="1"/>
    <x v="0"/>
    <x v="4"/>
    <d v="2025-02-21T00:00:00"/>
    <x v="3"/>
    <d v="2025-03-03T00:00:00"/>
    <n v="10"/>
    <n v="57670"/>
  </r>
  <r>
    <s v="P0137"/>
    <s v="Pooja Sharma"/>
    <n v="27"/>
    <x v="0"/>
    <x v="4"/>
    <x v="7"/>
    <d v="2025-09-19T00:00:00"/>
    <x v="2"/>
    <d v="2025-10-03T00:00:00"/>
    <n v="14"/>
    <n v="66682"/>
  </r>
  <r>
    <s v="P0138"/>
    <s v="Pooja Singh"/>
    <n v="60"/>
    <x v="0"/>
    <x v="5"/>
    <x v="4"/>
    <d v="2025-03-25T00:00:00"/>
    <x v="4"/>
    <d v="2025-03-27T00:00:00"/>
    <n v="2"/>
    <n v="8792"/>
  </r>
  <r>
    <s v="P0139"/>
    <s v="Anita Malik"/>
    <n v="65"/>
    <x v="0"/>
    <x v="0"/>
    <x v="6"/>
    <d v="2025-07-29T00:00:00"/>
    <x v="10"/>
    <d v="2025-07-30T00:00:00"/>
    <n v="1"/>
    <n v="7452"/>
  </r>
  <r>
    <s v="P0140"/>
    <s v="Kiran Rather"/>
    <n v="43"/>
    <x v="0"/>
    <x v="8"/>
    <x v="2"/>
    <d v="2025-10-02T00:00:00"/>
    <x v="11"/>
    <d v="2025-10-06T00:00:00"/>
    <n v="4"/>
    <n v="17724"/>
  </r>
  <r>
    <s v="P0141"/>
    <s v="Kiran Verma"/>
    <n v="33"/>
    <x v="1"/>
    <x v="1"/>
    <x v="1"/>
    <d v="2025-09-28T00:00:00"/>
    <x v="2"/>
    <d v="2025-09-29T00:00:00"/>
    <n v="1"/>
    <n v="11098"/>
  </r>
  <r>
    <s v="P0142"/>
    <s v="Mehak Malik"/>
    <n v="58"/>
    <x v="1"/>
    <x v="4"/>
    <x v="3"/>
    <d v="2025-06-17T00:00:00"/>
    <x v="7"/>
    <d v="2025-07-02T00:00:00"/>
    <n v="15"/>
    <n v="119145"/>
  </r>
  <r>
    <s v="P0143"/>
    <s v="Zara Malik"/>
    <n v="63"/>
    <x v="1"/>
    <x v="3"/>
    <x v="4"/>
    <d v="2025-09-26T00:00:00"/>
    <x v="2"/>
    <d v="2025-09-30T00:00:00"/>
    <n v="4"/>
    <n v="19508"/>
  </r>
  <r>
    <s v="P0144"/>
    <s v="Adil Malik"/>
    <n v="38"/>
    <x v="1"/>
    <x v="4"/>
    <x v="0"/>
    <d v="2025-06-21T00:00:00"/>
    <x v="7"/>
    <d v="2025-06-28T00:00:00"/>
    <n v="7"/>
    <n v="66661"/>
  </r>
  <r>
    <s v="P0145"/>
    <s v="Mehak Kapoor"/>
    <n v="38"/>
    <x v="1"/>
    <x v="4"/>
    <x v="7"/>
    <d v="2025-07-15T00:00:00"/>
    <x v="10"/>
    <d v="2025-07-16T00:00:00"/>
    <n v="1"/>
    <n v="8065"/>
  </r>
  <r>
    <s v="P0146"/>
    <s v="Mehak Gupta"/>
    <n v="87"/>
    <x v="0"/>
    <x v="1"/>
    <x v="0"/>
    <d v="2025-12-02T00:00:00"/>
    <x v="0"/>
    <d v="2025-12-14T00:00:00"/>
    <n v="12"/>
    <n v="77064"/>
  </r>
  <r>
    <s v="P0147"/>
    <s v="Arjun Ali"/>
    <n v="35"/>
    <x v="1"/>
    <x v="2"/>
    <x v="4"/>
    <d v="2025-08-30T00:00:00"/>
    <x v="8"/>
    <d v="2025-09-12T00:00:00"/>
    <n v="13"/>
    <n v="131391"/>
  </r>
  <r>
    <s v="P0148"/>
    <s v="Kiran Rather"/>
    <n v="82"/>
    <x v="0"/>
    <x v="1"/>
    <x v="0"/>
    <d v="2025-01-07T00:00:00"/>
    <x v="1"/>
    <d v="2025-01-21T00:00:00"/>
    <n v="14"/>
    <n v="157808"/>
  </r>
  <r>
    <s v="P0149"/>
    <s v="Priya Kumar"/>
    <n v="15"/>
    <x v="0"/>
    <x v="7"/>
    <x v="1"/>
    <d v="2025-11-11T00:00:00"/>
    <x v="9"/>
    <d v="2025-11-24T00:00:00"/>
    <n v="13"/>
    <n v="64142"/>
  </r>
  <r>
    <s v="P0150"/>
    <s v="Priya Malik"/>
    <n v="20"/>
    <x v="0"/>
    <x v="5"/>
    <x v="7"/>
    <d v="2025-03-27T00:00:00"/>
    <x v="4"/>
    <d v="2025-04-05T00:00:00"/>
    <n v="9"/>
    <n v="97470"/>
  </r>
  <r>
    <s v="P0151"/>
    <s v="Rohit Malik"/>
    <n v="73"/>
    <x v="1"/>
    <x v="9"/>
    <x v="1"/>
    <d v="2025-02-10T00:00:00"/>
    <x v="3"/>
    <d v="2025-02-11T00:00:00"/>
    <n v="1"/>
    <n v="10280"/>
  </r>
  <r>
    <s v="P0152"/>
    <s v="Imran Gupta"/>
    <n v="81"/>
    <x v="0"/>
    <x v="6"/>
    <x v="6"/>
    <d v="2025-11-29T00:00:00"/>
    <x v="9"/>
    <d v="2025-12-09T00:00:00"/>
    <n v="10"/>
    <n v="62580"/>
  </r>
  <r>
    <s v="P0153"/>
    <s v="Neha Gupta"/>
    <n v="32"/>
    <x v="1"/>
    <x v="4"/>
    <x v="3"/>
    <d v="2025-11-23T00:00:00"/>
    <x v="9"/>
    <d v="2025-12-03T00:00:00"/>
    <n v="10"/>
    <n v="88870"/>
  </r>
  <r>
    <s v="P0154"/>
    <s v="Aman Khan"/>
    <n v="60"/>
    <x v="0"/>
    <x v="6"/>
    <x v="1"/>
    <d v="2025-06-06T00:00:00"/>
    <x v="7"/>
    <d v="2025-06-16T00:00:00"/>
    <n v="10"/>
    <n v="49760"/>
  </r>
  <r>
    <s v="P0155"/>
    <s v="Rohit Malik"/>
    <n v="43"/>
    <x v="1"/>
    <x v="7"/>
    <x v="3"/>
    <d v="2025-02-08T00:00:00"/>
    <x v="3"/>
    <d v="2025-02-09T00:00:00"/>
    <n v="1"/>
    <n v="4027"/>
  </r>
  <r>
    <s v="P0156"/>
    <s v="Sara Malik"/>
    <n v="75"/>
    <x v="0"/>
    <x v="5"/>
    <x v="5"/>
    <d v="2025-12-06T00:00:00"/>
    <x v="0"/>
    <d v="2025-12-18T00:00:00"/>
    <n v="12"/>
    <n v="128676"/>
  </r>
  <r>
    <s v="P0157"/>
    <s v="Pooja Sharma"/>
    <n v="41"/>
    <x v="1"/>
    <x v="9"/>
    <x v="5"/>
    <d v="2025-09-24T00:00:00"/>
    <x v="2"/>
    <d v="2025-10-04T00:00:00"/>
    <n v="10"/>
    <n v="105720"/>
  </r>
  <r>
    <s v="P0158"/>
    <s v="Kiran Khan"/>
    <n v="32"/>
    <x v="1"/>
    <x v="1"/>
    <x v="6"/>
    <d v="2025-01-22T00:00:00"/>
    <x v="1"/>
    <d v="2025-01-30T00:00:00"/>
    <n v="8"/>
    <n v="38632"/>
  </r>
  <r>
    <s v="P0159"/>
    <s v="Mehak Gupta"/>
    <n v="55"/>
    <x v="1"/>
    <x v="9"/>
    <x v="3"/>
    <d v="2025-06-22T00:00:00"/>
    <x v="7"/>
    <d v="2025-07-05T00:00:00"/>
    <n v="13"/>
    <n v="68185"/>
  </r>
  <r>
    <s v="P0160"/>
    <s v="Sara Kapoor"/>
    <n v="37"/>
    <x v="1"/>
    <x v="3"/>
    <x v="7"/>
    <d v="2025-09-15T00:00:00"/>
    <x v="2"/>
    <d v="2025-09-25T00:00:00"/>
    <n v="10"/>
    <n v="109920"/>
  </r>
  <r>
    <s v="P0161"/>
    <s v="Sara Khan"/>
    <n v="9"/>
    <x v="1"/>
    <x v="4"/>
    <x v="5"/>
    <d v="2025-07-24T00:00:00"/>
    <x v="10"/>
    <d v="2025-07-29T00:00:00"/>
    <n v="5"/>
    <n v="23120"/>
  </r>
  <r>
    <s v="P0162"/>
    <s v="Arjun Kumar"/>
    <n v="53"/>
    <x v="1"/>
    <x v="7"/>
    <x v="1"/>
    <d v="2025-09-30T00:00:00"/>
    <x v="2"/>
    <d v="2025-10-11T00:00:00"/>
    <n v="11"/>
    <n v="106755"/>
  </r>
  <r>
    <s v="P0163"/>
    <s v="Neha Kumar"/>
    <n v="75"/>
    <x v="1"/>
    <x v="4"/>
    <x v="1"/>
    <d v="2025-02-23T00:00:00"/>
    <x v="3"/>
    <d v="2025-03-10T00:00:00"/>
    <n v="15"/>
    <n v="164280"/>
  </r>
  <r>
    <s v="P0164"/>
    <s v="Neha Kapoor"/>
    <n v="21"/>
    <x v="0"/>
    <x v="1"/>
    <x v="0"/>
    <d v="2025-04-21T00:00:00"/>
    <x v="5"/>
    <d v="2025-04-23T00:00:00"/>
    <n v="2"/>
    <n v="20326"/>
  </r>
  <r>
    <s v="P0165"/>
    <s v="Arjun Rather"/>
    <n v="60"/>
    <x v="0"/>
    <x v="1"/>
    <x v="3"/>
    <d v="2025-05-29T00:00:00"/>
    <x v="6"/>
    <d v="2025-06-06T00:00:00"/>
    <n v="8"/>
    <n v="77664"/>
  </r>
  <r>
    <s v="P0166"/>
    <s v="Zara Gupta"/>
    <n v="79"/>
    <x v="0"/>
    <x v="3"/>
    <x v="2"/>
    <d v="2025-11-02T00:00:00"/>
    <x v="9"/>
    <d v="2025-11-12T00:00:00"/>
    <n v="10"/>
    <n v="72930"/>
  </r>
  <r>
    <s v="P0167"/>
    <s v="Rohit Gupta"/>
    <n v="36"/>
    <x v="0"/>
    <x v="9"/>
    <x v="2"/>
    <d v="2025-07-18T00:00:00"/>
    <x v="10"/>
    <d v="2025-07-20T00:00:00"/>
    <n v="2"/>
    <n v="22000"/>
  </r>
  <r>
    <s v="P0168"/>
    <s v="Pooja Kumar"/>
    <n v="13"/>
    <x v="0"/>
    <x v="2"/>
    <x v="3"/>
    <d v="2025-05-03T00:00:00"/>
    <x v="6"/>
    <d v="2025-05-05T00:00:00"/>
    <n v="2"/>
    <n v="21068"/>
  </r>
  <r>
    <s v="P0169"/>
    <s v="Pooja Verma"/>
    <n v="54"/>
    <x v="0"/>
    <x v="3"/>
    <x v="3"/>
    <d v="2025-06-24T00:00:00"/>
    <x v="7"/>
    <d v="2025-07-07T00:00:00"/>
    <n v="13"/>
    <n v="96122"/>
  </r>
  <r>
    <s v="P0170"/>
    <s v="Adil Malik"/>
    <n v="69"/>
    <x v="1"/>
    <x v="2"/>
    <x v="4"/>
    <d v="2025-05-17T00:00:00"/>
    <x v="6"/>
    <d v="2025-05-23T00:00:00"/>
    <n v="6"/>
    <n v="30552"/>
  </r>
  <r>
    <s v="P0171"/>
    <s v="Vikas Sharma"/>
    <n v="20"/>
    <x v="1"/>
    <x v="9"/>
    <x v="0"/>
    <d v="2025-10-10T00:00:00"/>
    <x v="11"/>
    <d v="2025-10-20T00:00:00"/>
    <n v="10"/>
    <n v="118350"/>
  </r>
  <r>
    <s v="P0172"/>
    <s v="Anita Kapoor"/>
    <n v="11"/>
    <x v="1"/>
    <x v="6"/>
    <x v="1"/>
    <d v="2025-09-12T00:00:00"/>
    <x v="2"/>
    <d v="2025-09-13T00:00:00"/>
    <n v="1"/>
    <n v="10102"/>
  </r>
  <r>
    <s v="P0173"/>
    <s v="Aman Khan"/>
    <n v="31"/>
    <x v="1"/>
    <x v="7"/>
    <x v="1"/>
    <d v="2025-06-07T00:00:00"/>
    <x v="7"/>
    <d v="2025-06-20T00:00:00"/>
    <n v="13"/>
    <n v="96876"/>
  </r>
  <r>
    <s v="P0174"/>
    <s v="Mehak Singh"/>
    <n v="80"/>
    <x v="0"/>
    <x v="5"/>
    <x v="4"/>
    <d v="2025-05-20T00:00:00"/>
    <x v="6"/>
    <d v="2025-06-04T00:00:00"/>
    <n v="15"/>
    <n v="107970"/>
  </r>
  <r>
    <s v="P0175"/>
    <s v="Kiran Kapoor"/>
    <n v="34"/>
    <x v="0"/>
    <x v="2"/>
    <x v="5"/>
    <d v="2025-02-17T00:00:00"/>
    <x v="3"/>
    <d v="2025-02-18T00:00:00"/>
    <n v="1"/>
    <n v="7615"/>
  </r>
  <r>
    <s v="P0176"/>
    <s v="Mehak Sharma"/>
    <n v="24"/>
    <x v="1"/>
    <x v="5"/>
    <x v="2"/>
    <d v="2025-04-23T00:00:00"/>
    <x v="5"/>
    <d v="2025-04-29T00:00:00"/>
    <n v="6"/>
    <n v="51642"/>
  </r>
  <r>
    <s v="P0177"/>
    <s v="Neha Singh"/>
    <n v="58"/>
    <x v="0"/>
    <x v="0"/>
    <x v="0"/>
    <d v="2025-07-01T00:00:00"/>
    <x v="10"/>
    <d v="2025-07-09T00:00:00"/>
    <n v="8"/>
    <n v="54784"/>
  </r>
  <r>
    <s v="P0178"/>
    <s v="Pooja Gupta"/>
    <n v="6"/>
    <x v="0"/>
    <x v="9"/>
    <x v="4"/>
    <d v="2025-05-18T00:00:00"/>
    <x v="6"/>
    <d v="2025-05-27T00:00:00"/>
    <n v="9"/>
    <n v="63108"/>
  </r>
  <r>
    <s v="P0179"/>
    <s v="Neha Singh"/>
    <n v="57"/>
    <x v="0"/>
    <x v="0"/>
    <x v="3"/>
    <d v="2025-04-14T00:00:00"/>
    <x v="5"/>
    <d v="2025-04-27T00:00:00"/>
    <n v="13"/>
    <n v="117442"/>
  </r>
  <r>
    <s v="P0180"/>
    <s v="Vikas Sharma"/>
    <n v="57"/>
    <x v="0"/>
    <x v="6"/>
    <x v="6"/>
    <d v="2025-04-04T00:00:00"/>
    <x v="5"/>
    <d v="2025-04-15T00:00:00"/>
    <n v="11"/>
    <n v="101497"/>
  </r>
  <r>
    <s v="P0181"/>
    <s v="Vikas Verma"/>
    <n v="64"/>
    <x v="0"/>
    <x v="2"/>
    <x v="7"/>
    <d v="2025-01-01T00:00:00"/>
    <x v="1"/>
    <d v="2025-01-02T00:00:00"/>
    <n v="1"/>
    <n v="6285"/>
  </r>
  <r>
    <s v="P0182"/>
    <s v="Imran Kapoor"/>
    <n v="42"/>
    <x v="0"/>
    <x v="7"/>
    <x v="4"/>
    <d v="2025-08-18T00:00:00"/>
    <x v="8"/>
    <d v="2025-08-20T00:00:00"/>
    <n v="2"/>
    <n v="21100"/>
  </r>
  <r>
    <s v="P0183"/>
    <s v="Arjun Khan"/>
    <n v="82"/>
    <x v="0"/>
    <x v="8"/>
    <x v="0"/>
    <d v="2025-01-25T00:00:00"/>
    <x v="1"/>
    <d v="2025-02-05T00:00:00"/>
    <n v="11"/>
    <n v="98329"/>
  </r>
  <r>
    <s v="P0184"/>
    <s v="Anita Gupta"/>
    <n v="90"/>
    <x v="0"/>
    <x v="5"/>
    <x v="3"/>
    <d v="2025-08-01T00:00:00"/>
    <x v="8"/>
    <d v="2025-08-07T00:00:00"/>
    <n v="6"/>
    <n v="29844"/>
  </r>
  <r>
    <s v="P0185"/>
    <s v="Aman Rather"/>
    <n v="77"/>
    <x v="0"/>
    <x v="7"/>
    <x v="4"/>
    <d v="2025-08-11T00:00:00"/>
    <x v="8"/>
    <d v="2025-08-26T00:00:00"/>
    <n v="15"/>
    <n v="68805"/>
  </r>
  <r>
    <s v="P0186"/>
    <s v="Mehak Gupta"/>
    <n v="74"/>
    <x v="0"/>
    <x v="5"/>
    <x v="5"/>
    <d v="2025-04-24T00:00:00"/>
    <x v="5"/>
    <d v="2025-05-07T00:00:00"/>
    <n v="13"/>
    <n v="54574"/>
  </r>
  <r>
    <s v="P0187"/>
    <s v="Aman Kumar"/>
    <n v="53"/>
    <x v="0"/>
    <x v="4"/>
    <x v="2"/>
    <d v="2025-02-03T00:00:00"/>
    <x v="3"/>
    <d v="2025-02-04T00:00:00"/>
    <n v="1"/>
    <n v="4553"/>
  </r>
  <r>
    <s v="P0188"/>
    <s v="Priya Malik"/>
    <n v="50"/>
    <x v="0"/>
    <x v="9"/>
    <x v="5"/>
    <d v="2025-02-26T00:00:00"/>
    <x v="3"/>
    <d v="2025-03-06T00:00:00"/>
    <n v="8"/>
    <n v="90088"/>
  </r>
  <r>
    <s v="P0189"/>
    <s v="Priya Verma"/>
    <n v="59"/>
    <x v="1"/>
    <x v="7"/>
    <x v="0"/>
    <d v="2025-05-08T00:00:00"/>
    <x v="6"/>
    <d v="2025-05-14T00:00:00"/>
    <n v="6"/>
    <n v="62226"/>
  </r>
  <r>
    <s v="P0190"/>
    <s v="Vikas Malik"/>
    <n v="78"/>
    <x v="1"/>
    <x v="5"/>
    <x v="1"/>
    <d v="2025-12-20T00:00:00"/>
    <x v="0"/>
    <d v="2025-12-30T00:00:00"/>
    <n v="10"/>
    <n v="98910"/>
  </r>
  <r>
    <s v="P0191"/>
    <s v="Rohit Malik"/>
    <n v="8"/>
    <x v="0"/>
    <x v="6"/>
    <x v="5"/>
    <d v="2025-05-10T00:00:00"/>
    <x v="6"/>
    <d v="2025-05-12T00:00:00"/>
    <n v="2"/>
    <n v="17318"/>
  </r>
  <r>
    <s v="P0192"/>
    <s v="Rahul Malik"/>
    <n v="81"/>
    <x v="1"/>
    <x v="3"/>
    <x v="6"/>
    <d v="2025-11-24T00:00:00"/>
    <x v="9"/>
    <d v="2025-12-08T00:00:00"/>
    <n v="14"/>
    <n v="137214"/>
  </r>
  <r>
    <s v="P0193"/>
    <s v="Zara Kumar"/>
    <n v="42"/>
    <x v="0"/>
    <x v="0"/>
    <x v="7"/>
    <d v="2025-05-06T00:00:00"/>
    <x v="6"/>
    <d v="2025-05-10T00:00:00"/>
    <n v="4"/>
    <n v="27892"/>
  </r>
  <r>
    <s v="P0194"/>
    <s v="Mehak Gupta"/>
    <n v="3"/>
    <x v="0"/>
    <x v="0"/>
    <x v="1"/>
    <d v="2025-07-17T00:00:00"/>
    <x v="10"/>
    <d v="2025-07-26T00:00:00"/>
    <n v="9"/>
    <n v="105759"/>
  </r>
  <r>
    <s v="P0195"/>
    <s v="Rohit Malik"/>
    <n v="66"/>
    <x v="1"/>
    <x v="4"/>
    <x v="0"/>
    <d v="2025-08-27T00:00:00"/>
    <x v="8"/>
    <d v="2025-08-29T00:00:00"/>
    <n v="2"/>
    <n v="14852"/>
  </r>
  <r>
    <s v="P0196"/>
    <s v="Adil Sharma"/>
    <n v="50"/>
    <x v="1"/>
    <x v="8"/>
    <x v="4"/>
    <d v="2025-01-03T00:00:00"/>
    <x v="1"/>
    <d v="2025-01-04T00:00:00"/>
    <n v="1"/>
    <n v="8781"/>
  </r>
  <r>
    <s v="P0197"/>
    <s v="Anita Khan"/>
    <n v="43"/>
    <x v="1"/>
    <x v="3"/>
    <x v="5"/>
    <d v="2025-07-11T00:00:00"/>
    <x v="10"/>
    <d v="2025-07-14T00:00:00"/>
    <n v="3"/>
    <n v="25155"/>
  </r>
  <r>
    <s v="P0198"/>
    <s v="Vikas Verma"/>
    <n v="61"/>
    <x v="0"/>
    <x v="3"/>
    <x v="1"/>
    <d v="2025-09-01T00:00:00"/>
    <x v="2"/>
    <d v="2025-09-02T00:00:00"/>
    <n v="1"/>
    <n v="4394"/>
  </r>
  <r>
    <s v="P0199"/>
    <s v="Zara Ali"/>
    <n v="17"/>
    <x v="1"/>
    <x v="6"/>
    <x v="2"/>
    <d v="2025-02-17T00:00:00"/>
    <x v="3"/>
    <d v="2025-03-03T00:00:00"/>
    <n v="14"/>
    <n v="88060"/>
  </r>
  <r>
    <s v="P0200"/>
    <s v="Priya Malik"/>
    <n v="47"/>
    <x v="0"/>
    <x v="3"/>
    <x v="5"/>
    <d v="2025-03-02T00:00:00"/>
    <x v="4"/>
    <d v="2025-03-08T00:00:00"/>
    <n v="6"/>
    <n v="64974"/>
  </r>
  <r>
    <s v="P0201"/>
    <s v="Mehak Gupta"/>
    <n v="65"/>
    <x v="1"/>
    <x v="0"/>
    <x v="0"/>
    <d v="2025-04-05T00:00:00"/>
    <x v="5"/>
    <d v="2025-04-08T00:00:00"/>
    <n v="3"/>
    <n v="31710"/>
  </r>
  <r>
    <s v="P0202"/>
    <s v="Mehak Sharma"/>
    <n v="6"/>
    <x v="1"/>
    <x v="0"/>
    <x v="6"/>
    <d v="2025-09-06T00:00:00"/>
    <x v="2"/>
    <d v="2025-09-08T00:00:00"/>
    <n v="2"/>
    <n v="15488"/>
  </r>
  <r>
    <s v="P0203"/>
    <s v="Imran Malik"/>
    <n v="61"/>
    <x v="1"/>
    <x v="3"/>
    <x v="1"/>
    <d v="2025-08-03T00:00:00"/>
    <x v="8"/>
    <d v="2025-08-10T00:00:00"/>
    <n v="7"/>
    <n v="45703"/>
  </r>
  <r>
    <s v="P0204"/>
    <s v="Imran Rather"/>
    <n v="2"/>
    <x v="1"/>
    <x v="1"/>
    <x v="1"/>
    <d v="2025-09-04T00:00:00"/>
    <x v="2"/>
    <d v="2025-09-16T00:00:00"/>
    <n v="12"/>
    <n v="70200"/>
  </r>
  <r>
    <s v="P0205"/>
    <s v="Zara Khan"/>
    <n v="46"/>
    <x v="0"/>
    <x v="8"/>
    <x v="7"/>
    <d v="2025-10-08T00:00:00"/>
    <x v="11"/>
    <d v="2025-10-21T00:00:00"/>
    <n v="13"/>
    <n v="78728"/>
  </r>
  <r>
    <s v="P0206"/>
    <s v="Arjun Gupta"/>
    <n v="1"/>
    <x v="0"/>
    <x v="8"/>
    <x v="2"/>
    <d v="2025-10-26T00:00:00"/>
    <x v="11"/>
    <d v="2025-11-08T00:00:00"/>
    <n v="13"/>
    <n v="153309"/>
  </r>
  <r>
    <s v="P0207"/>
    <s v="Aman Sharma"/>
    <n v="90"/>
    <x v="1"/>
    <x v="5"/>
    <x v="1"/>
    <d v="2025-12-30T00:00:00"/>
    <x v="0"/>
    <d v="2026-01-09T00:00:00"/>
    <n v="10"/>
    <n v="48780"/>
  </r>
  <r>
    <s v="P0208"/>
    <s v="Arjun Gupta"/>
    <n v="32"/>
    <x v="1"/>
    <x v="2"/>
    <x v="4"/>
    <d v="2025-05-02T00:00:00"/>
    <x v="6"/>
    <d v="2025-05-05T00:00:00"/>
    <n v="3"/>
    <n v="32331"/>
  </r>
  <r>
    <s v="P0209"/>
    <s v="Kiran Verma"/>
    <n v="15"/>
    <x v="0"/>
    <x v="0"/>
    <x v="7"/>
    <d v="2025-08-18T00:00:00"/>
    <x v="8"/>
    <d v="2025-08-19T00:00:00"/>
    <n v="1"/>
    <n v="4411"/>
  </r>
  <r>
    <s v="P0210"/>
    <s v="Vikas Singh"/>
    <n v="85"/>
    <x v="0"/>
    <x v="1"/>
    <x v="5"/>
    <d v="2025-08-09T00:00:00"/>
    <x v="8"/>
    <d v="2025-08-16T00:00:00"/>
    <n v="7"/>
    <n v="71785"/>
  </r>
  <r>
    <s v="P0211"/>
    <s v="Adil Kumar"/>
    <n v="58"/>
    <x v="1"/>
    <x v="5"/>
    <x v="1"/>
    <d v="2025-08-19T00:00:00"/>
    <x v="8"/>
    <d v="2025-08-30T00:00:00"/>
    <n v="11"/>
    <n v="47817"/>
  </r>
  <r>
    <s v="P0212"/>
    <s v="Mehak Malik"/>
    <n v="40"/>
    <x v="0"/>
    <x v="4"/>
    <x v="0"/>
    <d v="2025-09-15T00:00:00"/>
    <x v="2"/>
    <d v="2025-09-21T00:00:00"/>
    <n v="6"/>
    <n v="33822"/>
  </r>
  <r>
    <s v="P0213"/>
    <s v="Kiran Khan"/>
    <n v="86"/>
    <x v="0"/>
    <x v="5"/>
    <x v="2"/>
    <d v="2025-09-24T00:00:00"/>
    <x v="2"/>
    <d v="2025-10-06T00:00:00"/>
    <n v="12"/>
    <n v="63108"/>
  </r>
  <r>
    <s v="P0214"/>
    <s v="Priya Khan"/>
    <n v="56"/>
    <x v="1"/>
    <x v="2"/>
    <x v="2"/>
    <d v="2025-11-13T00:00:00"/>
    <x v="9"/>
    <d v="2025-11-27T00:00:00"/>
    <n v="14"/>
    <n v="151760"/>
  </r>
  <r>
    <s v="P0215"/>
    <s v="Imran Ali"/>
    <n v="34"/>
    <x v="0"/>
    <x v="4"/>
    <x v="5"/>
    <d v="2025-06-11T00:00:00"/>
    <x v="7"/>
    <d v="2025-06-26T00:00:00"/>
    <n v="15"/>
    <n v="93975"/>
  </r>
  <r>
    <s v="P0216"/>
    <s v="Vikas Sharma"/>
    <n v="10"/>
    <x v="0"/>
    <x v="3"/>
    <x v="6"/>
    <d v="2025-04-18T00:00:00"/>
    <x v="5"/>
    <d v="2025-04-21T00:00:00"/>
    <n v="3"/>
    <n v="13113"/>
  </r>
  <r>
    <s v="P0217"/>
    <s v="Rahul Kumar"/>
    <n v="45"/>
    <x v="1"/>
    <x v="3"/>
    <x v="4"/>
    <d v="2025-11-28T00:00:00"/>
    <x v="9"/>
    <d v="2025-12-13T00:00:00"/>
    <n v="15"/>
    <n v="115785"/>
  </r>
  <r>
    <s v="P0218"/>
    <s v="Anita Malik"/>
    <n v="49"/>
    <x v="0"/>
    <x v="4"/>
    <x v="2"/>
    <d v="2025-03-22T00:00:00"/>
    <x v="4"/>
    <d v="2025-03-23T00:00:00"/>
    <n v="1"/>
    <n v="11189"/>
  </r>
  <r>
    <s v="P0219"/>
    <s v="Zara Kumar"/>
    <n v="78"/>
    <x v="0"/>
    <x v="0"/>
    <x v="7"/>
    <d v="2025-09-21T00:00:00"/>
    <x v="2"/>
    <d v="2025-09-26T00:00:00"/>
    <n v="5"/>
    <n v="26350"/>
  </r>
  <r>
    <s v="P0220"/>
    <s v="Priya Malik"/>
    <n v="7"/>
    <x v="0"/>
    <x v="6"/>
    <x v="7"/>
    <d v="2025-11-02T00:00:00"/>
    <x v="9"/>
    <d v="2025-11-03T00:00:00"/>
    <n v="1"/>
    <n v="9122"/>
  </r>
  <r>
    <s v="P0221"/>
    <s v="Anita Verma"/>
    <n v="6"/>
    <x v="1"/>
    <x v="9"/>
    <x v="3"/>
    <d v="2025-11-27T00:00:00"/>
    <x v="9"/>
    <d v="2025-12-10T00:00:00"/>
    <n v="13"/>
    <n v="142142"/>
  </r>
  <r>
    <s v="P0222"/>
    <s v="Priya Rather"/>
    <n v="74"/>
    <x v="0"/>
    <x v="6"/>
    <x v="3"/>
    <d v="2025-04-13T00:00:00"/>
    <x v="5"/>
    <d v="2025-04-17T00:00:00"/>
    <n v="4"/>
    <n v="27460"/>
  </r>
  <r>
    <s v="P0223"/>
    <s v="Sara Gupta"/>
    <n v="64"/>
    <x v="1"/>
    <x v="9"/>
    <x v="0"/>
    <d v="2025-01-04T00:00:00"/>
    <x v="1"/>
    <d v="2025-01-11T00:00:00"/>
    <n v="7"/>
    <n v="82474"/>
  </r>
  <r>
    <s v="P0224"/>
    <s v="Rohit Ali"/>
    <n v="64"/>
    <x v="1"/>
    <x v="5"/>
    <x v="4"/>
    <d v="2025-11-12T00:00:00"/>
    <x v="9"/>
    <d v="2025-11-26T00:00:00"/>
    <n v="14"/>
    <n v="165620"/>
  </r>
  <r>
    <s v="P0225"/>
    <s v="Priya Singh"/>
    <n v="22"/>
    <x v="1"/>
    <x v="6"/>
    <x v="6"/>
    <d v="2025-07-23T00:00:00"/>
    <x v="10"/>
    <d v="2025-08-06T00:00:00"/>
    <n v="14"/>
    <n v="83230"/>
  </r>
  <r>
    <s v="P0226"/>
    <s v="Rahul Singh"/>
    <n v="81"/>
    <x v="1"/>
    <x v="5"/>
    <x v="1"/>
    <d v="2025-04-11T00:00:00"/>
    <x v="5"/>
    <d v="2025-04-21T00:00:00"/>
    <n v="10"/>
    <n v="103650"/>
  </r>
  <r>
    <s v="P0227"/>
    <s v="Adil Kapoor"/>
    <n v="81"/>
    <x v="1"/>
    <x v="4"/>
    <x v="5"/>
    <d v="2025-10-09T00:00:00"/>
    <x v="11"/>
    <d v="2025-10-16T00:00:00"/>
    <n v="7"/>
    <n v="45920"/>
  </r>
  <r>
    <s v="P0228"/>
    <s v="Vikas Sharma"/>
    <n v="14"/>
    <x v="0"/>
    <x v="5"/>
    <x v="1"/>
    <d v="2025-02-28T00:00:00"/>
    <x v="3"/>
    <d v="2025-03-02T00:00:00"/>
    <n v="2"/>
    <n v="21776"/>
  </r>
  <r>
    <s v="P0229"/>
    <s v="Rohit Rather"/>
    <n v="38"/>
    <x v="1"/>
    <x v="9"/>
    <x v="1"/>
    <d v="2025-02-12T00:00:00"/>
    <x v="3"/>
    <d v="2025-02-23T00:00:00"/>
    <n v="11"/>
    <n v="96107"/>
  </r>
  <r>
    <s v="P0230"/>
    <s v="Anita Singh"/>
    <n v="61"/>
    <x v="1"/>
    <x v="0"/>
    <x v="1"/>
    <d v="2025-09-25T00:00:00"/>
    <x v="2"/>
    <d v="2025-10-03T00:00:00"/>
    <n v="8"/>
    <n v="35224"/>
  </r>
  <r>
    <s v="P0231"/>
    <s v="Sara Kapoor"/>
    <n v="64"/>
    <x v="0"/>
    <x v="0"/>
    <x v="5"/>
    <d v="2025-05-29T00:00:00"/>
    <x v="6"/>
    <d v="2025-06-04T00:00:00"/>
    <n v="6"/>
    <n v="69918"/>
  </r>
  <r>
    <s v="P0232"/>
    <s v="Arjun Sharma"/>
    <n v="74"/>
    <x v="1"/>
    <x v="2"/>
    <x v="0"/>
    <d v="2025-07-10T00:00:00"/>
    <x v="10"/>
    <d v="2025-07-24T00:00:00"/>
    <n v="14"/>
    <n v="56126"/>
  </r>
  <r>
    <s v="P0233"/>
    <s v="Aman Verma"/>
    <n v="90"/>
    <x v="1"/>
    <x v="5"/>
    <x v="7"/>
    <d v="2025-11-16T00:00:00"/>
    <x v="9"/>
    <d v="2025-11-23T00:00:00"/>
    <n v="7"/>
    <n v="49672"/>
  </r>
  <r>
    <s v="P0234"/>
    <s v="Aman Malik"/>
    <n v="30"/>
    <x v="1"/>
    <x v="5"/>
    <x v="7"/>
    <d v="2025-05-03T00:00:00"/>
    <x v="6"/>
    <d v="2025-05-09T00:00:00"/>
    <n v="6"/>
    <n v="33180"/>
  </r>
  <r>
    <s v="P0235"/>
    <s v="Aman Gupta"/>
    <n v="82"/>
    <x v="0"/>
    <x v="1"/>
    <x v="0"/>
    <d v="2025-02-23T00:00:00"/>
    <x v="3"/>
    <d v="2025-03-04T00:00:00"/>
    <n v="9"/>
    <n v="74727"/>
  </r>
  <r>
    <s v="P0236"/>
    <s v="Arjun Khan"/>
    <n v="46"/>
    <x v="0"/>
    <x v="6"/>
    <x v="3"/>
    <d v="2025-06-24T00:00:00"/>
    <x v="7"/>
    <d v="2025-07-07T00:00:00"/>
    <n v="13"/>
    <n v="101686"/>
  </r>
  <r>
    <s v="P0237"/>
    <s v="Arjun Ali"/>
    <n v="66"/>
    <x v="0"/>
    <x v="6"/>
    <x v="1"/>
    <d v="2025-08-28T00:00:00"/>
    <x v="8"/>
    <d v="2025-09-01T00:00:00"/>
    <n v="4"/>
    <n v="21512"/>
  </r>
  <r>
    <s v="P0238"/>
    <s v="Rahul Singh"/>
    <n v="78"/>
    <x v="0"/>
    <x v="0"/>
    <x v="1"/>
    <d v="2025-04-30T00:00:00"/>
    <x v="5"/>
    <d v="2025-05-04T00:00:00"/>
    <n v="4"/>
    <n v="27220"/>
  </r>
  <r>
    <s v="P0239"/>
    <s v="Mehak Rather"/>
    <n v="28"/>
    <x v="0"/>
    <x v="0"/>
    <x v="4"/>
    <d v="2025-02-08T00:00:00"/>
    <x v="3"/>
    <d v="2025-02-14T00:00:00"/>
    <n v="6"/>
    <n v="31932"/>
  </r>
  <r>
    <s v="P0240"/>
    <s v="Sara Ali"/>
    <n v="89"/>
    <x v="1"/>
    <x v="2"/>
    <x v="1"/>
    <d v="2025-04-20T00:00:00"/>
    <x v="5"/>
    <d v="2025-05-03T00:00:00"/>
    <n v="13"/>
    <n v="137436"/>
  </r>
  <r>
    <s v="P0241"/>
    <s v="Priya Malik"/>
    <n v="6"/>
    <x v="0"/>
    <x v="9"/>
    <x v="6"/>
    <d v="2025-06-17T00:00:00"/>
    <x v="7"/>
    <d v="2025-07-02T00:00:00"/>
    <n v="15"/>
    <n v="165075"/>
  </r>
  <r>
    <s v="P0242"/>
    <s v="Aman Verma"/>
    <n v="14"/>
    <x v="1"/>
    <x v="3"/>
    <x v="5"/>
    <d v="2025-10-18T00:00:00"/>
    <x v="11"/>
    <d v="2025-10-21T00:00:00"/>
    <n v="3"/>
    <n v="34914"/>
  </r>
  <r>
    <s v="P0243"/>
    <s v="Imran Sharma"/>
    <n v="24"/>
    <x v="0"/>
    <x v="6"/>
    <x v="3"/>
    <d v="2025-07-02T00:00:00"/>
    <x v="10"/>
    <d v="2025-07-12T00:00:00"/>
    <n v="10"/>
    <n v="101050"/>
  </r>
  <r>
    <s v="P0244"/>
    <s v="Imran Sharma"/>
    <n v="21"/>
    <x v="0"/>
    <x v="8"/>
    <x v="1"/>
    <d v="2025-03-13T00:00:00"/>
    <x v="4"/>
    <d v="2025-03-24T00:00:00"/>
    <n v="11"/>
    <n v="107470"/>
  </r>
  <r>
    <s v="P0245"/>
    <s v="Adil Rather"/>
    <n v="45"/>
    <x v="0"/>
    <x v="2"/>
    <x v="2"/>
    <d v="2025-01-23T00:00:00"/>
    <x v="1"/>
    <d v="2025-01-29T00:00:00"/>
    <n v="6"/>
    <n v="69390"/>
  </r>
  <r>
    <s v="P0246"/>
    <s v="Rohit Khan"/>
    <n v="61"/>
    <x v="1"/>
    <x v="6"/>
    <x v="7"/>
    <d v="2025-06-08T00:00:00"/>
    <x v="7"/>
    <d v="2025-06-14T00:00:00"/>
    <n v="6"/>
    <n v="59136"/>
  </r>
  <r>
    <s v="P0247"/>
    <s v="Imran Sharma"/>
    <n v="60"/>
    <x v="1"/>
    <x v="0"/>
    <x v="1"/>
    <d v="2025-03-13T00:00:00"/>
    <x v="4"/>
    <d v="2025-03-26T00:00:00"/>
    <n v="13"/>
    <n v="109642"/>
  </r>
  <r>
    <s v="P0248"/>
    <s v="Rohit Sharma"/>
    <n v="39"/>
    <x v="1"/>
    <x v="1"/>
    <x v="5"/>
    <d v="2025-08-17T00:00:00"/>
    <x v="8"/>
    <d v="2025-08-29T00:00:00"/>
    <n v="12"/>
    <n v="132720"/>
  </r>
  <r>
    <s v="P0249"/>
    <s v="Adil Rather"/>
    <n v="57"/>
    <x v="0"/>
    <x v="2"/>
    <x v="1"/>
    <d v="2025-04-14T00:00:00"/>
    <x v="5"/>
    <d v="2025-04-24T00:00:00"/>
    <n v="10"/>
    <n v="97240"/>
  </r>
  <r>
    <s v="P0250"/>
    <s v="Neha Kapoor"/>
    <n v="69"/>
    <x v="0"/>
    <x v="7"/>
    <x v="3"/>
    <d v="2025-06-26T00:00:00"/>
    <x v="7"/>
    <d v="2025-06-29T00:00:00"/>
    <n v="3"/>
    <n v="27390"/>
  </r>
  <r>
    <s v="P0251"/>
    <s v="Sara Sharma"/>
    <n v="44"/>
    <x v="0"/>
    <x v="9"/>
    <x v="2"/>
    <d v="2025-09-01T00:00:00"/>
    <x v="2"/>
    <d v="2025-09-06T00:00:00"/>
    <n v="5"/>
    <n v="52825"/>
  </r>
  <r>
    <s v="P0252"/>
    <s v="Sara Gupta"/>
    <n v="86"/>
    <x v="1"/>
    <x v="3"/>
    <x v="0"/>
    <d v="2025-08-02T00:00:00"/>
    <x v="8"/>
    <d v="2025-08-16T00:00:00"/>
    <n v="14"/>
    <n v="57022"/>
  </r>
  <r>
    <s v="P0253"/>
    <s v="Priya Malik"/>
    <n v="18"/>
    <x v="1"/>
    <x v="5"/>
    <x v="3"/>
    <d v="2025-09-19T00:00:00"/>
    <x v="2"/>
    <d v="2025-09-24T00:00:00"/>
    <n v="5"/>
    <n v="38235"/>
  </r>
  <r>
    <s v="P0254"/>
    <s v="Sara Khan"/>
    <n v="8"/>
    <x v="1"/>
    <x v="3"/>
    <x v="1"/>
    <d v="2025-07-30T00:00:00"/>
    <x v="10"/>
    <d v="2025-08-08T00:00:00"/>
    <n v="9"/>
    <n v="81549"/>
  </r>
  <r>
    <s v="P0255"/>
    <s v="Arjun Kapoor"/>
    <n v="11"/>
    <x v="1"/>
    <x v="6"/>
    <x v="6"/>
    <d v="2025-05-17T00:00:00"/>
    <x v="6"/>
    <d v="2025-05-31T00:00:00"/>
    <n v="14"/>
    <n v="161070"/>
  </r>
  <r>
    <s v="P0256"/>
    <s v="Arjun Singh"/>
    <n v="61"/>
    <x v="1"/>
    <x v="7"/>
    <x v="4"/>
    <d v="2025-12-04T00:00:00"/>
    <x v="0"/>
    <d v="2025-12-10T00:00:00"/>
    <n v="6"/>
    <n v="62268"/>
  </r>
  <r>
    <s v="P0257"/>
    <s v="Kiran Kumar"/>
    <n v="42"/>
    <x v="1"/>
    <x v="6"/>
    <x v="4"/>
    <d v="2025-03-12T00:00:00"/>
    <x v="4"/>
    <d v="2025-03-15T00:00:00"/>
    <n v="3"/>
    <n v="35373"/>
  </r>
  <r>
    <s v="P0258"/>
    <s v="Arjun Gupta"/>
    <n v="48"/>
    <x v="1"/>
    <x v="9"/>
    <x v="3"/>
    <d v="2025-02-11T00:00:00"/>
    <x v="3"/>
    <d v="2025-02-24T00:00:00"/>
    <n v="13"/>
    <n v="151359"/>
  </r>
  <r>
    <s v="P0259"/>
    <s v="Rohit Singh"/>
    <n v="73"/>
    <x v="1"/>
    <x v="5"/>
    <x v="4"/>
    <d v="2025-11-27T00:00:00"/>
    <x v="9"/>
    <d v="2025-12-11T00:00:00"/>
    <n v="14"/>
    <n v="66234"/>
  </r>
  <r>
    <s v="P0260"/>
    <s v="Anita Kumar"/>
    <n v="67"/>
    <x v="0"/>
    <x v="0"/>
    <x v="5"/>
    <d v="2025-04-18T00:00:00"/>
    <x v="5"/>
    <d v="2025-04-19T00:00:00"/>
    <n v="1"/>
    <n v="10410"/>
  </r>
  <r>
    <s v="P0261"/>
    <s v="Adil Kapoor"/>
    <n v="28"/>
    <x v="1"/>
    <x v="8"/>
    <x v="2"/>
    <d v="2025-01-28T00:00:00"/>
    <x v="1"/>
    <d v="2025-01-29T00:00:00"/>
    <n v="1"/>
    <n v="7520"/>
  </r>
  <r>
    <s v="P0262"/>
    <s v="Arjun Khan"/>
    <n v="9"/>
    <x v="1"/>
    <x v="6"/>
    <x v="7"/>
    <d v="2025-08-31T00:00:00"/>
    <x v="8"/>
    <d v="2025-09-14T00:00:00"/>
    <n v="14"/>
    <n v="149870"/>
  </r>
  <r>
    <s v="P0263"/>
    <s v="Mehak Gupta"/>
    <n v="64"/>
    <x v="1"/>
    <x v="3"/>
    <x v="7"/>
    <d v="2025-06-21T00:00:00"/>
    <x v="7"/>
    <d v="2025-06-27T00:00:00"/>
    <n v="6"/>
    <n v="29010"/>
  </r>
  <r>
    <s v="P0264"/>
    <s v="Aman Rather"/>
    <n v="66"/>
    <x v="1"/>
    <x v="7"/>
    <x v="6"/>
    <d v="2025-03-27T00:00:00"/>
    <x v="4"/>
    <d v="2025-03-30T00:00:00"/>
    <n v="3"/>
    <n v="34578"/>
  </r>
  <r>
    <s v="P0265"/>
    <s v="Rahul Rather"/>
    <n v="55"/>
    <x v="1"/>
    <x v="1"/>
    <x v="7"/>
    <d v="2025-12-01T00:00:00"/>
    <x v="0"/>
    <d v="2025-12-13T00:00:00"/>
    <n v="12"/>
    <n v="91668"/>
  </r>
  <r>
    <s v="P0266"/>
    <s v="Rahul Malik"/>
    <n v="64"/>
    <x v="0"/>
    <x v="2"/>
    <x v="7"/>
    <d v="2025-09-04T00:00:00"/>
    <x v="2"/>
    <d v="2025-09-17T00:00:00"/>
    <n v="13"/>
    <n v="153036"/>
  </r>
  <r>
    <s v="P0267"/>
    <s v="Rahul Sharma"/>
    <n v="2"/>
    <x v="1"/>
    <x v="5"/>
    <x v="2"/>
    <d v="2025-04-04T00:00:00"/>
    <x v="5"/>
    <d v="2025-04-13T00:00:00"/>
    <n v="9"/>
    <n v="86148"/>
  </r>
  <r>
    <s v="P0268"/>
    <s v="Sara Verma"/>
    <n v="18"/>
    <x v="1"/>
    <x v="7"/>
    <x v="0"/>
    <d v="2025-04-04T00:00:00"/>
    <x v="5"/>
    <d v="2025-04-05T00:00:00"/>
    <n v="1"/>
    <n v="5434"/>
  </r>
  <r>
    <s v="P0269"/>
    <s v="Zara Sharma"/>
    <n v="84"/>
    <x v="1"/>
    <x v="4"/>
    <x v="2"/>
    <d v="2025-04-02T00:00:00"/>
    <x v="5"/>
    <d v="2025-04-10T00:00:00"/>
    <n v="8"/>
    <n v="74816"/>
  </r>
  <r>
    <s v="P0270"/>
    <s v="Sara Sharma"/>
    <n v="21"/>
    <x v="0"/>
    <x v="5"/>
    <x v="3"/>
    <d v="2025-12-08T00:00:00"/>
    <x v="0"/>
    <d v="2025-12-18T00:00:00"/>
    <n v="10"/>
    <n v="111150"/>
  </r>
  <r>
    <s v="P0271"/>
    <s v="Imran Kumar"/>
    <n v="21"/>
    <x v="1"/>
    <x v="5"/>
    <x v="6"/>
    <d v="2025-07-28T00:00:00"/>
    <x v="10"/>
    <d v="2025-07-31T00:00:00"/>
    <n v="3"/>
    <n v="21246"/>
  </r>
  <r>
    <s v="P0272"/>
    <s v="Arjun Khan"/>
    <n v="37"/>
    <x v="1"/>
    <x v="8"/>
    <x v="6"/>
    <d v="2025-10-15T00:00:00"/>
    <x v="11"/>
    <d v="2025-10-23T00:00:00"/>
    <n v="8"/>
    <n v="61864"/>
  </r>
  <r>
    <s v="P0273"/>
    <s v="Neha Malik"/>
    <n v="85"/>
    <x v="1"/>
    <x v="8"/>
    <x v="5"/>
    <d v="2025-08-11T00:00:00"/>
    <x v="8"/>
    <d v="2025-08-24T00:00:00"/>
    <n v="13"/>
    <n v="78416"/>
  </r>
  <r>
    <s v="P0274"/>
    <s v="Zara Kapoor"/>
    <n v="75"/>
    <x v="0"/>
    <x v="9"/>
    <x v="5"/>
    <d v="2025-03-26T00:00:00"/>
    <x v="4"/>
    <d v="2025-03-30T00:00:00"/>
    <n v="4"/>
    <n v="22480"/>
  </r>
  <r>
    <s v="P0275"/>
    <s v="Vikas Kumar"/>
    <n v="90"/>
    <x v="0"/>
    <x v="6"/>
    <x v="4"/>
    <d v="2025-09-25T00:00:00"/>
    <x v="2"/>
    <d v="2025-09-27T00:00:00"/>
    <n v="2"/>
    <n v="22164"/>
  </r>
  <r>
    <s v="P0276"/>
    <s v="Zara Verma"/>
    <n v="43"/>
    <x v="1"/>
    <x v="5"/>
    <x v="0"/>
    <d v="2025-01-27T00:00:00"/>
    <x v="1"/>
    <d v="2025-01-29T00:00:00"/>
    <n v="2"/>
    <n v="16568"/>
  </r>
  <r>
    <s v="P0277"/>
    <s v="Anita Ali"/>
    <n v="19"/>
    <x v="1"/>
    <x v="5"/>
    <x v="1"/>
    <d v="2025-03-07T00:00:00"/>
    <x v="4"/>
    <d v="2025-03-18T00:00:00"/>
    <n v="11"/>
    <n v="100496"/>
  </r>
  <r>
    <s v="P0278"/>
    <s v="Mehak Sharma"/>
    <n v="24"/>
    <x v="1"/>
    <x v="0"/>
    <x v="6"/>
    <d v="2025-08-15T00:00:00"/>
    <x v="8"/>
    <d v="2025-08-25T00:00:00"/>
    <n v="10"/>
    <n v="63880"/>
  </r>
  <r>
    <s v="P0279"/>
    <s v="Vikas Gupta"/>
    <n v="20"/>
    <x v="1"/>
    <x v="0"/>
    <x v="5"/>
    <d v="2025-10-11T00:00:00"/>
    <x v="11"/>
    <d v="2025-10-26T00:00:00"/>
    <n v="15"/>
    <n v="68910"/>
  </r>
  <r>
    <s v="P0280"/>
    <s v="Vikas Verma"/>
    <n v="82"/>
    <x v="1"/>
    <x v="6"/>
    <x v="5"/>
    <d v="2025-10-18T00:00:00"/>
    <x v="11"/>
    <d v="2025-10-21T00:00:00"/>
    <n v="3"/>
    <n v="28596"/>
  </r>
  <r>
    <s v="P0281"/>
    <s v="Imran Sharma"/>
    <n v="82"/>
    <x v="1"/>
    <x v="6"/>
    <x v="4"/>
    <d v="2025-10-19T00:00:00"/>
    <x v="11"/>
    <d v="2025-10-23T00:00:00"/>
    <n v="4"/>
    <n v="19764"/>
  </r>
  <r>
    <s v="P0282"/>
    <s v="Priya Malik"/>
    <n v="17"/>
    <x v="0"/>
    <x v="0"/>
    <x v="0"/>
    <d v="2025-09-22T00:00:00"/>
    <x v="2"/>
    <d v="2025-09-24T00:00:00"/>
    <n v="2"/>
    <n v="11686"/>
  </r>
  <r>
    <s v="P0283"/>
    <s v="Vikas Singh"/>
    <n v="88"/>
    <x v="1"/>
    <x v="1"/>
    <x v="1"/>
    <d v="2025-06-11T00:00:00"/>
    <x v="7"/>
    <d v="2025-06-18T00:00:00"/>
    <n v="7"/>
    <n v="60060"/>
  </r>
  <r>
    <s v="P0284"/>
    <s v="Zara Malik"/>
    <n v="7"/>
    <x v="0"/>
    <x v="0"/>
    <x v="1"/>
    <d v="2025-10-27T00:00:00"/>
    <x v="11"/>
    <d v="2025-11-03T00:00:00"/>
    <n v="7"/>
    <n v="43463"/>
  </r>
  <r>
    <s v="P0285"/>
    <s v="Rohit Ali"/>
    <n v="63"/>
    <x v="0"/>
    <x v="7"/>
    <x v="4"/>
    <d v="2025-04-25T00:00:00"/>
    <x v="5"/>
    <d v="2025-04-27T00:00:00"/>
    <n v="2"/>
    <n v="13926"/>
  </r>
  <r>
    <s v="P0286"/>
    <s v="Anita Ali"/>
    <n v="25"/>
    <x v="1"/>
    <x v="9"/>
    <x v="1"/>
    <d v="2025-05-16T00:00:00"/>
    <x v="6"/>
    <d v="2025-05-18T00:00:00"/>
    <n v="2"/>
    <n v="18698"/>
  </r>
  <r>
    <s v="P0287"/>
    <s v="Zara Rather"/>
    <n v="26"/>
    <x v="1"/>
    <x v="2"/>
    <x v="6"/>
    <d v="2025-02-02T00:00:00"/>
    <x v="3"/>
    <d v="2025-02-07T00:00:00"/>
    <n v="5"/>
    <n v="41265"/>
  </r>
  <r>
    <s v="P0288"/>
    <s v="Adil Ali"/>
    <n v="36"/>
    <x v="1"/>
    <x v="2"/>
    <x v="3"/>
    <d v="2025-12-14T00:00:00"/>
    <x v="0"/>
    <d v="2025-12-16T00:00:00"/>
    <n v="2"/>
    <n v="21408"/>
  </r>
  <r>
    <s v="P0289"/>
    <s v="Rohit Kapoor"/>
    <n v="43"/>
    <x v="1"/>
    <x v="8"/>
    <x v="0"/>
    <d v="2025-11-18T00:00:00"/>
    <x v="9"/>
    <d v="2025-12-03T00:00:00"/>
    <n v="15"/>
    <n v="131895"/>
  </r>
  <r>
    <s v="P0290"/>
    <s v="Imran Kumar"/>
    <n v="50"/>
    <x v="1"/>
    <x v="8"/>
    <x v="6"/>
    <d v="2025-03-02T00:00:00"/>
    <x v="4"/>
    <d v="2025-03-09T00:00:00"/>
    <n v="7"/>
    <n v="52934"/>
  </r>
  <r>
    <s v="P0291"/>
    <s v="Mehak Kapoor"/>
    <n v="32"/>
    <x v="0"/>
    <x v="9"/>
    <x v="6"/>
    <d v="2025-09-03T00:00:00"/>
    <x v="2"/>
    <d v="2025-09-08T00:00:00"/>
    <n v="5"/>
    <n v="43190"/>
  </r>
  <r>
    <s v="P0292"/>
    <s v="Pooja Verma"/>
    <n v="14"/>
    <x v="1"/>
    <x v="4"/>
    <x v="0"/>
    <d v="2025-03-08T00:00:00"/>
    <x v="4"/>
    <d v="2025-03-19T00:00:00"/>
    <n v="11"/>
    <n v="126005"/>
  </r>
  <r>
    <s v="P0293"/>
    <s v="Zara Kumar"/>
    <n v="81"/>
    <x v="1"/>
    <x v="0"/>
    <x v="4"/>
    <d v="2025-12-17T00:00:00"/>
    <x v="0"/>
    <d v="2025-12-29T00:00:00"/>
    <n v="12"/>
    <n v="61908"/>
  </r>
  <r>
    <s v="P0294"/>
    <s v="Priya Kapoor"/>
    <n v="29"/>
    <x v="1"/>
    <x v="2"/>
    <x v="3"/>
    <d v="2025-02-15T00:00:00"/>
    <x v="3"/>
    <d v="2025-02-28T00:00:00"/>
    <n v="13"/>
    <n v="113867"/>
  </r>
  <r>
    <s v="P0295"/>
    <s v="Adil Rather"/>
    <n v="53"/>
    <x v="1"/>
    <x v="4"/>
    <x v="5"/>
    <d v="2025-07-30T00:00:00"/>
    <x v="10"/>
    <d v="2025-08-10T00:00:00"/>
    <n v="11"/>
    <n v="45375"/>
  </r>
  <r>
    <s v="P0296"/>
    <s v="Zara Singh"/>
    <n v="50"/>
    <x v="1"/>
    <x v="6"/>
    <x v="1"/>
    <d v="2025-05-07T00:00:00"/>
    <x v="6"/>
    <d v="2025-05-21T00:00:00"/>
    <n v="14"/>
    <n v="84420"/>
  </r>
  <r>
    <s v="P0297"/>
    <s v="Pooja Malik"/>
    <n v="80"/>
    <x v="1"/>
    <x v="3"/>
    <x v="7"/>
    <d v="2025-08-06T00:00:00"/>
    <x v="8"/>
    <d v="2025-08-11T00:00:00"/>
    <n v="5"/>
    <n v="53770"/>
  </r>
  <r>
    <s v="P0298"/>
    <s v="Pooja Singh"/>
    <n v="54"/>
    <x v="1"/>
    <x v="3"/>
    <x v="6"/>
    <d v="2025-06-08T00:00:00"/>
    <x v="7"/>
    <d v="2025-06-14T00:00:00"/>
    <n v="6"/>
    <n v="48774"/>
  </r>
  <r>
    <s v="P0299"/>
    <s v="Imran Sharma"/>
    <n v="76"/>
    <x v="0"/>
    <x v="8"/>
    <x v="0"/>
    <d v="2025-11-06T00:00:00"/>
    <x v="9"/>
    <d v="2025-11-07T00:00:00"/>
    <n v="1"/>
    <n v="11309"/>
  </r>
  <r>
    <s v="P0300"/>
    <s v="Rohit Malik"/>
    <n v="37"/>
    <x v="1"/>
    <x v="8"/>
    <x v="6"/>
    <d v="2025-09-14T00:00:00"/>
    <x v="2"/>
    <d v="2025-09-23T00:00:00"/>
    <n v="9"/>
    <n v="93888"/>
  </r>
  <r>
    <s v="P0301"/>
    <s v="Sara Malik"/>
    <n v="50"/>
    <x v="0"/>
    <x v="1"/>
    <x v="1"/>
    <d v="2025-04-02T00:00:00"/>
    <x v="5"/>
    <d v="2025-04-07T00:00:00"/>
    <n v="5"/>
    <n v="26255"/>
  </r>
  <r>
    <s v="P0302"/>
    <s v="Kiran Singh"/>
    <n v="62"/>
    <x v="0"/>
    <x v="7"/>
    <x v="7"/>
    <d v="2025-05-01T00:00:00"/>
    <x v="6"/>
    <d v="2025-05-11T00:00:00"/>
    <n v="10"/>
    <n v="75890"/>
  </r>
  <r>
    <s v="P0303"/>
    <s v="Pooja Singh"/>
    <n v="42"/>
    <x v="1"/>
    <x v="7"/>
    <x v="6"/>
    <d v="2025-09-15T00:00:00"/>
    <x v="2"/>
    <d v="2025-09-28T00:00:00"/>
    <n v="13"/>
    <n v="75790"/>
  </r>
  <r>
    <s v="P0304"/>
    <s v="Arjun Verma"/>
    <n v="81"/>
    <x v="1"/>
    <x v="5"/>
    <x v="7"/>
    <d v="2025-09-12T00:00:00"/>
    <x v="2"/>
    <d v="2025-09-20T00:00:00"/>
    <n v="8"/>
    <n v="86704"/>
  </r>
  <r>
    <s v="P0305"/>
    <s v="Zara Rather"/>
    <n v="67"/>
    <x v="1"/>
    <x v="5"/>
    <x v="0"/>
    <d v="2025-01-04T00:00:00"/>
    <x v="1"/>
    <d v="2025-01-14T00:00:00"/>
    <n v="10"/>
    <n v="81200"/>
  </r>
  <r>
    <s v="P0306"/>
    <s v="Vikas Kapoor"/>
    <n v="71"/>
    <x v="0"/>
    <x v="3"/>
    <x v="3"/>
    <d v="2025-10-27T00:00:00"/>
    <x v="11"/>
    <d v="2025-11-08T00:00:00"/>
    <n v="12"/>
    <n v="74208"/>
  </r>
  <r>
    <s v="P0307"/>
    <s v="Anita Khan"/>
    <n v="83"/>
    <x v="0"/>
    <x v="2"/>
    <x v="4"/>
    <d v="2025-04-27T00:00:00"/>
    <x v="5"/>
    <d v="2025-05-09T00:00:00"/>
    <n v="12"/>
    <n v="48912"/>
  </r>
  <r>
    <s v="P0308"/>
    <s v="Kiran Verma"/>
    <n v="65"/>
    <x v="0"/>
    <x v="6"/>
    <x v="1"/>
    <d v="2025-09-05T00:00:00"/>
    <x v="2"/>
    <d v="2025-09-07T00:00:00"/>
    <n v="2"/>
    <n v="13186"/>
  </r>
  <r>
    <s v="P0309"/>
    <s v="Aman Singh"/>
    <n v="71"/>
    <x v="0"/>
    <x v="0"/>
    <x v="2"/>
    <d v="2025-11-30T00:00:00"/>
    <x v="9"/>
    <d v="2025-12-13T00:00:00"/>
    <n v="13"/>
    <n v="61451"/>
  </r>
  <r>
    <s v="P0310"/>
    <s v="Kiran Rather"/>
    <n v="81"/>
    <x v="0"/>
    <x v="3"/>
    <x v="5"/>
    <d v="2025-03-15T00:00:00"/>
    <x v="4"/>
    <d v="2025-03-21T00:00:00"/>
    <n v="6"/>
    <n v="69762"/>
  </r>
  <r>
    <s v="P0311"/>
    <s v="Aman Verma"/>
    <n v="39"/>
    <x v="1"/>
    <x v="8"/>
    <x v="1"/>
    <d v="2025-03-22T00:00:00"/>
    <x v="4"/>
    <d v="2025-04-02T00:00:00"/>
    <n v="11"/>
    <n v="71610"/>
  </r>
  <r>
    <s v="P0312"/>
    <s v="Sara Kumar"/>
    <n v="14"/>
    <x v="0"/>
    <x v="9"/>
    <x v="5"/>
    <d v="2025-07-15T00:00:00"/>
    <x v="10"/>
    <d v="2025-07-24T00:00:00"/>
    <n v="9"/>
    <n v="49392"/>
  </r>
  <r>
    <s v="P0313"/>
    <s v="Rahul Kapoor"/>
    <n v="40"/>
    <x v="0"/>
    <x v="5"/>
    <x v="1"/>
    <d v="2025-07-02T00:00:00"/>
    <x v="10"/>
    <d v="2025-07-05T00:00:00"/>
    <n v="3"/>
    <n v="18513"/>
  </r>
  <r>
    <s v="P0314"/>
    <s v="Vikas Singh"/>
    <n v="11"/>
    <x v="0"/>
    <x v="7"/>
    <x v="0"/>
    <d v="2025-03-27T00:00:00"/>
    <x v="4"/>
    <d v="2025-04-10T00:00:00"/>
    <n v="14"/>
    <n v="108262"/>
  </r>
  <r>
    <s v="P0315"/>
    <s v="Sara Ali"/>
    <n v="21"/>
    <x v="0"/>
    <x v="4"/>
    <x v="1"/>
    <d v="2025-08-10T00:00:00"/>
    <x v="8"/>
    <d v="2025-08-21T00:00:00"/>
    <n v="11"/>
    <n v="116171"/>
  </r>
  <r>
    <s v="P0316"/>
    <s v="Anita Sharma"/>
    <n v="46"/>
    <x v="1"/>
    <x v="9"/>
    <x v="1"/>
    <d v="2025-07-27T00:00:00"/>
    <x v="10"/>
    <d v="2025-08-07T00:00:00"/>
    <n v="11"/>
    <n v="110165"/>
  </r>
  <r>
    <s v="P0317"/>
    <s v="Adil Gupta"/>
    <n v="66"/>
    <x v="0"/>
    <x v="0"/>
    <x v="0"/>
    <d v="2025-09-13T00:00:00"/>
    <x v="2"/>
    <d v="2025-09-24T00:00:00"/>
    <n v="11"/>
    <n v="92202"/>
  </r>
  <r>
    <s v="P0318"/>
    <s v="Zara Kapoor"/>
    <n v="48"/>
    <x v="1"/>
    <x v="4"/>
    <x v="5"/>
    <d v="2025-07-20T00:00:00"/>
    <x v="10"/>
    <d v="2025-07-23T00:00:00"/>
    <n v="3"/>
    <n v="13854"/>
  </r>
  <r>
    <s v="P0319"/>
    <s v="Adil Singh"/>
    <n v="9"/>
    <x v="1"/>
    <x v="7"/>
    <x v="6"/>
    <d v="2025-09-18T00:00:00"/>
    <x v="2"/>
    <d v="2025-09-22T00:00:00"/>
    <n v="4"/>
    <n v="40136"/>
  </r>
  <r>
    <s v="P0320"/>
    <s v="Rohit Singh"/>
    <n v="74"/>
    <x v="0"/>
    <x v="3"/>
    <x v="4"/>
    <d v="2025-02-03T00:00:00"/>
    <x v="3"/>
    <d v="2025-02-05T00:00:00"/>
    <n v="2"/>
    <n v="17708"/>
  </r>
  <r>
    <s v="P0321"/>
    <s v="Arjun Verma"/>
    <n v="39"/>
    <x v="0"/>
    <x v="7"/>
    <x v="1"/>
    <d v="2025-05-18T00:00:00"/>
    <x v="6"/>
    <d v="2025-05-31T00:00:00"/>
    <n v="13"/>
    <n v="132340"/>
  </r>
  <r>
    <s v="P0322"/>
    <s v="Priya Malik"/>
    <n v="12"/>
    <x v="0"/>
    <x v="7"/>
    <x v="3"/>
    <d v="2025-01-06T00:00:00"/>
    <x v="1"/>
    <d v="2025-01-14T00:00:00"/>
    <n v="8"/>
    <n v="71608"/>
  </r>
  <r>
    <s v="P0323"/>
    <s v="Imran Kapoor"/>
    <n v="44"/>
    <x v="1"/>
    <x v="8"/>
    <x v="1"/>
    <d v="2025-12-27T00:00:00"/>
    <x v="0"/>
    <d v="2026-01-01T00:00:00"/>
    <n v="5"/>
    <n v="52565"/>
  </r>
  <r>
    <s v="P0324"/>
    <s v="Neha Kapoor"/>
    <n v="43"/>
    <x v="0"/>
    <x v="7"/>
    <x v="2"/>
    <d v="2025-09-30T00:00:00"/>
    <x v="2"/>
    <d v="2025-10-07T00:00:00"/>
    <n v="7"/>
    <n v="62517"/>
  </r>
  <r>
    <s v="P0325"/>
    <s v="Priya Kapoor"/>
    <n v="69"/>
    <x v="0"/>
    <x v="6"/>
    <x v="0"/>
    <d v="2025-04-25T00:00:00"/>
    <x v="5"/>
    <d v="2025-05-10T00:00:00"/>
    <n v="15"/>
    <n v="175035"/>
  </r>
  <r>
    <s v="P0326"/>
    <s v="Rohit Sharma"/>
    <n v="12"/>
    <x v="0"/>
    <x v="0"/>
    <x v="3"/>
    <d v="2025-03-26T00:00:00"/>
    <x v="4"/>
    <d v="2025-03-31T00:00:00"/>
    <n v="5"/>
    <n v="52710"/>
  </r>
  <r>
    <s v="P0327"/>
    <s v="Pooja Verma"/>
    <n v="58"/>
    <x v="0"/>
    <x v="5"/>
    <x v="2"/>
    <d v="2025-01-20T00:00:00"/>
    <x v="1"/>
    <d v="2025-01-31T00:00:00"/>
    <n v="11"/>
    <n v="69179"/>
  </r>
  <r>
    <s v="P0328"/>
    <s v="Neha Malik"/>
    <n v="57"/>
    <x v="1"/>
    <x v="5"/>
    <x v="6"/>
    <d v="2025-04-11T00:00:00"/>
    <x v="5"/>
    <d v="2025-04-25T00:00:00"/>
    <n v="14"/>
    <n v="167104"/>
  </r>
  <r>
    <s v="P0329"/>
    <s v="Adil Rather"/>
    <n v="13"/>
    <x v="0"/>
    <x v="3"/>
    <x v="7"/>
    <d v="2025-03-30T00:00:00"/>
    <x v="4"/>
    <d v="2025-04-10T00:00:00"/>
    <n v="11"/>
    <n v="54175"/>
  </r>
  <r>
    <s v="P0330"/>
    <s v="Anita Malik"/>
    <n v="80"/>
    <x v="1"/>
    <x v="5"/>
    <x v="4"/>
    <d v="2025-03-02T00:00:00"/>
    <x v="4"/>
    <d v="2025-03-16T00:00:00"/>
    <n v="14"/>
    <n v="114296"/>
  </r>
  <r>
    <s v="P0331"/>
    <s v="Vikas Kumar"/>
    <n v="20"/>
    <x v="0"/>
    <x v="5"/>
    <x v="7"/>
    <d v="2025-07-21T00:00:00"/>
    <x v="10"/>
    <d v="2025-07-24T00:00:00"/>
    <n v="3"/>
    <n v="35220"/>
  </r>
  <r>
    <s v="P0332"/>
    <s v="Pooja Ali"/>
    <n v="19"/>
    <x v="1"/>
    <x v="1"/>
    <x v="2"/>
    <d v="2025-07-29T00:00:00"/>
    <x v="10"/>
    <d v="2025-08-12T00:00:00"/>
    <n v="14"/>
    <n v="58128"/>
  </r>
  <r>
    <s v="P0333"/>
    <s v="Neha Kapoor"/>
    <n v="14"/>
    <x v="0"/>
    <x v="2"/>
    <x v="3"/>
    <d v="2025-12-31T00:00:00"/>
    <x v="0"/>
    <d v="2026-01-07T00:00:00"/>
    <n v="7"/>
    <n v="28924"/>
  </r>
  <r>
    <s v="P0334"/>
    <s v="Kiran Gupta"/>
    <n v="50"/>
    <x v="1"/>
    <x v="4"/>
    <x v="0"/>
    <d v="2025-01-17T00:00:00"/>
    <x v="1"/>
    <d v="2025-01-30T00:00:00"/>
    <n v="13"/>
    <n v="144014"/>
  </r>
  <r>
    <s v="P0335"/>
    <s v="Priya Rather"/>
    <n v="9"/>
    <x v="0"/>
    <x v="0"/>
    <x v="2"/>
    <d v="2025-11-19T00:00:00"/>
    <x v="9"/>
    <d v="2025-11-23T00:00:00"/>
    <n v="4"/>
    <n v="34224"/>
  </r>
  <r>
    <s v="P0336"/>
    <s v="Priya Gupta"/>
    <n v="36"/>
    <x v="0"/>
    <x v="1"/>
    <x v="6"/>
    <d v="2025-03-27T00:00:00"/>
    <x v="4"/>
    <d v="2025-03-30T00:00:00"/>
    <n v="3"/>
    <n v="20769"/>
  </r>
  <r>
    <s v="P0337"/>
    <s v="Kiran Khan"/>
    <n v="75"/>
    <x v="0"/>
    <x v="0"/>
    <x v="2"/>
    <d v="2025-09-29T00:00:00"/>
    <x v="2"/>
    <d v="2025-10-14T00:00:00"/>
    <n v="15"/>
    <n v="80550"/>
  </r>
  <r>
    <s v="P0338"/>
    <s v="Aman Singh"/>
    <n v="66"/>
    <x v="1"/>
    <x v="9"/>
    <x v="6"/>
    <d v="2025-09-06T00:00:00"/>
    <x v="2"/>
    <d v="2025-09-09T00:00:00"/>
    <n v="3"/>
    <n v="35112"/>
  </r>
  <r>
    <s v="P0339"/>
    <s v="Kiran Malik"/>
    <n v="39"/>
    <x v="1"/>
    <x v="0"/>
    <x v="6"/>
    <d v="2025-11-12T00:00:00"/>
    <x v="9"/>
    <d v="2025-11-22T00:00:00"/>
    <n v="10"/>
    <n v="115880"/>
  </r>
  <r>
    <s v="P0340"/>
    <s v="Rohit Rather"/>
    <n v="15"/>
    <x v="0"/>
    <x v="3"/>
    <x v="1"/>
    <d v="2025-12-30T00:00:00"/>
    <x v="0"/>
    <d v="2026-01-04T00:00:00"/>
    <n v="5"/>
    <n v="33170"/>
  </r>
  <r>
    <s v="P0341"/>
    <s v="Priya Khan"/>
    <n v="35"/>
    <x v="1"/>
    <x v="2"/>
    <x v="2"/>
    <d v="2025-12-24T00:00:00"/>
    <x v="0"/>
    <d v="2025-12-27T00:00:00"/>
    <n v="3"/>
    <n v="25176"/>
  </r>
  <r>
    <s v="P0342"/>
    <s v="Arjun Ali"/>
    <n v="43"/>
    <x v="0"/>
    <x v="5"/>
    <x v="7"/>
    <d v="2025-11-29T00:00:00"/>
    <x v="9"/>
    <d v="2025-12-10T00:00:00"/>
    <n v="11"/>
    <n v="95260"/>
  </r>
  <r>
    <s v="P0343"/>
    <s v="Imran Singh"/>
    <n v="45"/>
    <x v="1"/>
    <x v="6"/>
    <x v="2"/>
    <d v="2025-05-02T00:00:00"/>
    <x v="6"/>
    <d v="2025-05-04T00:00:00"/>
    <n v="2"/>
    <n v="17404"/>
  </r>
  <r>
    <s v="P0344"/>
    <s v="Zara Gupta"/>
    <n v="63"/>
    <x v="0"/>
    <x v="1"/>
    <x v="7"/>
    <d v="2025-02-08T00:00:00"/>
    <x v="3"/>
    <d v="2025-02-17T00:00:00"/>
    <n v="9"/>
    <n v="104463"/>
  </r>
  <r>
    <s v="P0345"/>
    <s v="Mehak Malik"/>
    <n v="20"/>
    <x v="1"/>
    <x v="2"/>
    <x v="4"/>
    <d v="2025-01-25T00:00:00"/>
    <x v="1"/>
    <d v="2025-02-03T00:00:00"/>
    <n v="9"/>
    <n v="40707"/>
  </r>
  <r>
    <s v="P0346"/>
    <s v="Anita Sharma"/>
    <n v="40"/>
    <x v="1"/>
    <x v="8"/>
    <x v="6"/>
    <d v="2025-02-16T00:00:00"/>
    <x v="3"/>
    <d v="2025-02-21T00:00:00"/>
    <n v="5"/>
    <n v="48395"/>
  </r>
  <r>
    <s v="P0347"/>
    <s v="Imran Kapoor"/>
    <n v="90"/>
    <x v="0"/>
    <x v="1"/>
    <x v="1"/>
    <d v="2025-01-20T00:00:00"/>
    <x v="1"/>
    <d v="2025-01-29T00:00:00"/>
    <n v="9"/>
    <n v="62307"/>
  </r>
  <r>
    <s v="P0348"/>
    <s v="Pooja Singh"/>
    <n v="76"/>
    <x v="1"/>
    <x v="9"/>
    <x v="0"/>
    <d v="2025-08-27T00:00:00"/>
    <x v="8"/>
    <d v="2025-08-30T00:00:00"/>
    <n v="3"/>
    <n v="26649"/>
  </r>
  <r>
    <s v="P0349"/>
    <s v="Neha Singh"/>
    <n v="70"/>
    <x v="0"/>
    <x v="9"/>
    <x v="3"/>
    <d v="2025-07-20T00:00:00"/>
    <x v="10"/>
    <d v="2025-07-26T00:00:00"/>
    <n v="6"/>
    <n v="65322"/>
  </r>
  <r>
    <s v="P0350"/>
    <s v="Pooja Gupta"/>
    <n v="81"/>
    <x v="1"/>
    <x v="7"/>
    <x v="0"/>
    <d v="2025-09-11T00:00:00"/>
    <x v="2"/>
    <d v="2025-09-19T00:00:00"/>
    <n v="8"/>
    <n v="63888"/>
  </r>
  <r>
    <s v="P0351"/>
    <s v="Neha Malik"/>
    <n v="48"/>
    <x v="1"/>
    <x v="1"/>
    <x v="5"/>
    <d v="2025-03-13T00:00:00"/>
    <x v="4"/>
    <d v="2025-03-17T00:00:00"/>
    <n v="4"/>
    <n v="33732"/>
  </r>
  <r>
    <s v="P0352"/>
    <s v="Arjun Kapoor"/>
    <n v="63"/>
    <x v="0"/>
    <x v="2"/>
    <x v="7"/>
    <d v="2025-11-14T00:00:00"/>
    <x v="9"/>
    <d v="2025-11-23T00:00:00"/>
    <n v="9"/>
    <n v="79740"/>
  </r>
  <r>
    <s v="P0353"/>
    <s v="Pooja Kumar"/>
    <n v="5"/>
    <x v="1"/>
    <x v="2"/>
    <x v="2"/>
    <d v="2025-12-01T00:00:00"/>
    <x v="0"/>
    <d v="2025-12-05T00:00:00"/>
    <n v="4"/>
    <n v="44192"/>
  </r>
  <r>
    <s v="P0354"/>
    <s v="Rahul Rather"/>
    <n v="40"/>
    <x v="1"/>
    <x v="5"/>
    <x v="5"/>
    <d v="2025-05-10T00:00:00"/>
    <x v="6"/>
    <d v="2025-05-20T00:00:00"/>
    <n v="10"/>
    <n v="63580"/>
  </r>
  <r>
    <s v="P0355"/>
    <s v="Rohit Kapoor"/>
    <n v="70"/>
    <x v="1"/>
    <x v="1"/>
    <x v="0"/>
    <d v="2025-07-12T00:00:00"/>
    <x v="10"/>
    <d v="2025-07-19T00:00:00"/>
    <n v="7"/>
    <n v="73108"/>
  </r>
  <r>
    <s v="P0356"/>
    <s v="Priya Gupta"/>
    <n v="48"/>
    <x v="1"/>
    <x v="5"/>
    <x v="2"/>
    <d v="2025-06-11T00:00:00"/>
    <x v="7"/>
    <d v="2025-06-18T00:00:00"/>
    <n v="7"/>
    <n v="77637"/>
  </r>
  <r>
    <s v="P0357"/>
    <s v="Aman Kumar"/>
    <n v="39"/>
    <x v="1"/>
    <x v="3"/>
    <x v="6"/>
    <d v="2025-10-05T00:00:00"/>
    <x v="11"/>
    <d v="2025-10-06T00:00:00"/>
    <n v="1"/>
    <n v="8791"/>
  </r>
  <r>
    <s v="P0358"/>
    <s v="Kiran Singh"/>
    <n v="19"/>
    <x v="1"/>
    <x v="7"/>
    <x v="0"/>
    <d v="2025-12-31T00:00:00"/>
    <x v="0"/>
    <d v="2026-01-12T00:00:00"/>
    <n v="12"/>
    <n v="54576"/>
  </r>
  <r>
    <s v="P0359"/>
    <s v="Zara Gupta"/>
    <n v="87"/>
    <x v="0"/>
    <x v="4"/>
    <x v="3"/>
    <d v="2025-05-07T00:00:00"/>
    <x v="6"/>
    <d v="2025-05-20T00:00:00"/>
    <n v="13"/>
    <n v="148291"/>
  </r>
  <r>
    <s v="P0360"/>
    <s v="Priya Malik"/>
    <n v="75"/>
    <x v="0"/>
    <x v="5"/>
    <x v="5"/>
    <d v="2025-09-03T00:00:00"/>
    <x v="2"/>
    <d v="2025-09-06T00:00:00"/>
    <n v="3"/>
    <n v="29802"/>
  </r>
  <r>
    <s v="P0361"/>
    <s v="Priya Rather"/>
    <n v="13"/>
    <x v="0"/>
    <x v="2"/>
    <x v="6"/>
    <d v="2025-03-18T00:00:00"/>
    <x v="4"/>
    <d v="2025-03-26T00:00:00"/>
    <n v="8"/>
    <n v="85216"/>
  </r>
  <r>
    <s v="P0362"/>
    <s v="Arjun Sharma"/>
    <n v="4"/>
    <x v="1"/>
    <x v="0"/>
    <x v="6"/>
    <d v="2025-10-03T00:00:00"/>
    <x v="11"/>
    <d v="2025-10-11T00:00:00"/>
    <n v="8"/>
    <n v="33080"/>
  </r>
  <r>
    <s v="P0363"/>
    <s v="Adil Sharma"/>
    <n v="16"/>
    <x v="1"/>
    <x v="5"/>
    <x v="5"/>
    <d v="2025-01-27T00:00:00"/>
    <x v="1"/>
    <d v="2025-01-31T00:00:00"/>
    <n v="4"/>
    <n v="35128"/>
  </r>
  <r>
    <s v="P0364"/>
    <s v="Vikas Rather"/>
    <n v="18"/>
    <x v="1"/>
    <x v="0"/>
    <x v="3"/>
    <d v="2025-10-31T00:00:00"/>
    <x v="11"/>
    <d v="2025-11-02T00:00:00"/>
    <n v="2"/>
    <n v="11896"/>
  </r>
  <r>
    <s v="P0365"/>
    <s v="Zara Gupta"/>
    <n v="35"/>
    <x v="0"/>
    <x v="6"/>
    <x v="3"/>
    <d v="2025-10-02T00:00:00"/>
    <x v="11"/>
    <d v="2025-10-17T00:00:00"/>
    <n v="15"/>
    <n v="125055"/>
  </r>
  <r>
    <s v="P0366"/>
    <s v="Rohit Sharma"/>
    <n v="36"/>
    <x v="1"/>
    <x v="3"/>
    <x v="6"/>
    <d v="2025-05-17T00:00:00"/>
    <x v="6"/>
    <d v="2025-05-24T00:00:00"/>
    <n v="7"/>
    <n v="71743"/>
  </r>
  <r>
    <s v="P0367"/>
    <s v="Aman Singh"/>
    <n v="85"/>
    <x v="1"/>
    <x v="3"/>
    <x v="4"/>
    <d v="2025-04-11T00:00:00"/>
    <x v="5"/>
    <d v="2025-04-17T00:00:00"/>
    <n v="6"/>
    <n v="24072"/>
  </r>
  <r>
    <s v="P0368"/>
    <s v="Rohit Gupta"/>
    <n v="4"/>
    <x v="1"/>
    <x v="4"/>
    <x v="2"/>
    <d v="2025-01-20T00:00:00"/>
    <x v="1"/>
    <d v="2025-01-31T00:00:00"/>
    <n v="11"/>
    <n v="117744"/>
  </r>
  <r>
    <s v="P0369"/>
    <s v="Aman Gupta"/>
    <n v="19"/>
    <x v="1"/>
    <x v="1"/>
    <x v="3"/>
    <d v="2025-03-15T00:00:00"/>
    <x v="4"/>
    <d v="2025-03-21T00:00:00"/>
    <n v="6"/>
    <n v="54462"/>
  </r>
  <r>
    <s v="P0370"/>
    <s v="Rahul Gupta"/>
    <n v="42"/>
    <x v="0"/>
    <x v="7"/>
    <x v="0"/>
    <d v="2025-01-04T00:00:00"/>
    <x v="1"/>
    <d v="2025-01-16T00:00:00"/>
    <n v="12"/>
    <n v="101376"/>
  </r>
  <r>
    <s v="P0371"/>
    <s v="Pooja Gupta"/>
    <n v="6"/>
    <x v="0"/>
    <x v="2"/>
    <x v="0"/>
    <d v="2025-10-04T00:00:00"/>
    <x v="11"/>
    <d v="2025-10-15T00:00:00"/>
    <n v="11"/>
    <n v="45386"/>
  </r>
  <r>
    <s v="P0372"/>
    <s v="Vikas Kapoor"/>
    <n v="65"/>
    <x v="1"/>
    <x v="1"/>
    <x v="1"/>
    <d v="2025-02-07T00:00:00"/>
    <x v="3"/>
    <d v="2025-02-22T00:00:00"/>
    <n v="15"/>
    <n v="110805"/>
  </r>
  <r>
    <s v="P0373"/>
    <s v="Anita Verma"/>
    <n v="41"/>
    <x v="0"/>
    <x v="9"/>
    <x v="5"/>
    <d v="2025-02-27T00:00:00"/>
    <x v="3"/>
    <d v="2025-03-12T00:00:00"/>
    <n v="13"/>
    <n v="55874"/>
  </r>
  <r>
    <s v="P0374"/>
    <s v="Arjun Singh"/>
    <n v="81"/>
    <x v="0"/>
    <x v="7"/>
    <x v="4"/>
    <d v="2025-04-12T00:00:00"/>
    <x v="5"/>
    <d v="2025-04-14T00:00:00"/>
    <n v="2"/>
    <n v="13064"/>
  </r>
  <r>
    <s v="P0375"/>
    <s v="Priya Sharma"/>
    <n v="28"/>
    <x v="0"/>
    <x v="5"/>
    <x v="2"/>
    <d v="2025-10-15T00:00:00"/>
    <x v="11"/>
    <d v="2025-10-19T00:00:00"/>
    <n v="4"/>
    <n v="19768"/>
  </r>
  <r>
    <s v="P0376"/>
    <s v="Mehak Ali"/>
    <n v="39"/>
    <x v="1"/>
    <x v="5"/>
    <x v="1"/>
    <d v="2025-11-13T00:00:00"/>
    <x v="9"/>
    <d v="2025-11-20T00:00:00"/>
    <n v="7"/>
    <n v="50085"/>
  </r>
  <r>
    <s v="P0377"/>
    <s v="Neha Ali"/>
    <n v="87"/>
    <x v="0"/>
    <x v="3"/>
    <x v="4"/>
    <d v="2025-07-23T00:00:00"/>
    <x v="10"/>
    <d v="2025-08-07T00:00:00"/>
    <n v="15"/>
    <n v="69150"/>
  </r>
  <r>
    <s v="P0378"/>
    <s v="Mehak Sharma"/>
    <n v="28"/>
    <x v="1"/>
    <x v="1"/>
    <x v="2"/>
    <d v="2025-09-18T00:00:00"/>
    <x v="2"/>
    <d v="2025-09-24T00:00:00"/>
    <n v="6"/>
    <n v="36486"/>
  </r>
  <r>
    <s v="P0379"/>
    <s v="Priya Ali"/>
    <n v="89"/>
    <x v="0"/>
    <x v="0"/>
    <x v="6"/>
    <d v="2025-07-21T00:00:00"/>
    <x v="10"/>
    <d v="2025-07-28T00:00:00"/>
    <n v="7"/>
    <n v="37793"/>
  </r>
  <r>
    <s v="P0380"/>
    <s v="Imran Khan"/>
    <n v="7"/>
    <x v="0"/>
    <x v="9"/>
    <x v="2"/>
    <d v="2025-10-26T00:00:00"/>
    <x v="11"/>
    <d v="2025-11-09T00:00:00"/>
    <n v="14"/>
    <n v="97370"/>
  </r>
  <r>
    <s v="P0381"/>
    <s v="Rahul Kapoor"/>
    <n v="64"/>
    <x v="0"/>
    <x v="1"/>
    <x v="2"/>
    <d v="2025-03-03T00:00:00"/>
    <x v="4"/>
    <d v="2025-03-11T00:00:00"/>
    <n v="8"/>
    <n v="63712"/>
  </r>
  <r>
    <s v="P0382"/>
    <s v="Priya Ali"/>
    <n v="20"/>
    <x v="0"/>
    <x v="5"/>
    <x v="5"/>
    <d v="2025-11-23T00:00:00"/>
    <x v="9"/>
    <d v="2025-11-25T00:00:00"/>
    <n v="2"/>
    <n v="14386"/>
  </r>
  <r>
    <s v="P0383"/>
    <s v="Zara Ali"/>
    <n v="34"/>
    <x v="0"/>
    <x v="4"/>
    <x v="2"/>
    <d v="2025-08-01T00:00:00"/>
    <x v="8"/>
    <d v="2025-08-02T00:00:00"/>
    <n v="1"/>
    <n v="10815"/>
  </r>
  <r>
    <s v="P0384"/>
    <s v="Kiran Ali"/>
    <n v="50"/>
    <x v="0"/>
    <x v="6"/>
    <x v="3"/>
    <d v="2025-09-10T00:00:00"/>
    <x v="2"/>
    <d v="2025-09-17T00:00:00"/>
    <n v="7"/>
    <n v="72331"/>
  </r>
  <r>
    <s v="P0385"/>
    <s v="Arjun Malik"/>
    <n v="22"/>
    <x v="0"/>
    <x v="1"/>
    <x v="3"/>
    <d v="2025-07-11T00:00:00"/>
    <x v="10"/>
    <d v="2025-07-20T00:00:00"/>
    <n v="9"/>
    <n v="99918"/>
  </r>
  <r>
    <s v="P0386"/>
    <s v="Kiran Sharma"/>
    <n v="19"/>
    <x v="0"/>
    <x v="2"/>
    <x v="4"/>
    <d v="2025-04-10T00:00:00"/>
    <x v="5"/>
    <d v="2025-04-13T00:00:00"/>
    <n v="3"/>
    <n v="32208"/>
  </r>
  <r>
    <s v="P0387"/>
    <s v="Rahul Verma"/>
    <n v="43"/>
    <x v="0"/>
    <x v="5"/>
    <x v="0"/>
    <d v="2025-09-30T00:00:00"/>
    <x v="2"/>
    <d v="2025-10-15T00:00:00"/>
    <n v="15"/>
    <n v="114030"/>
  </r>
  <r>
    <s v="P0388"/>
    <s v="Rohit Kapoor"/>
    <n v="9"/>
    <x v="0"/>
    <x v="7"/>
    <x v="0"/>
    <d v="2025-12-19T00:00:00"/>
    <x v="0"/>
    <d v="2025-12-25T00:00:00"/>
    <n v="6"/>
    <n v="54048"/>
  </r>
  <r>
    <s v="P0389"/>
    <s v="Rohit Gupta"/>
    <n v="60"/>
    <x v="1"/>
    <x v="2"/>
    <x v="1"/>
    <d v="2025-07-20T00:00:00"/>
    <x v="10"/>
    <d v="2025-07-28T00:00:00"/>
    <n v="8"/>
    <n v="55408"/>
  </r>
  <r>
    <s v="P0390"/>
    <s v="Kiran Verma"/>
    <n v="23"/>
    <x v="0"/>
    <x v="5"/>
    <x v="7"/>
    <d v="2025-06-21T00:00:00"/>
    <x v="7"/>
    <d v="2025-07-03T00:00:00"/>
    <n v="12"/>
    <n v="59028"/>
  </r>
  <r>
    <s v="P0391"/>
    <s v="Zara Sharma"/>
    <n v="73"/>
    <x v="0"/>
    <x v="8"/>
    <x v="7"/>
    <d v="2025-04-03T00:00:00"/>
    <x v="5"/>
    <d v="2025-04-15T00:00:00"/>
    <n v="12"/>
    <n v="103572"/>
  </r>
  <r>
    <s v="P0392"/>
    <s v="Rahul Singh"/>
    <n v="17"/>
    <x v="0"/>
    <x v="1"/>
    <x v="7"/>
    <d v="2025-12-13T00:00:00"/>
    <x v="0"/>
    <d v="2025-12-28T00:00:00"/>
    <n v="15"/>
    <n v="79050"/>
  </r>
  <r>
    <s v="P0393"/>
    <s v="Arjun Sharma"/>
    <n v="78"/>
    <x v="1"/>
    <x v="7"/>
    <x v="3"/>
    <d v="2025-08-11T00:00:00"/>
    <x v="8"/>
    <d v="2025-08-13T00:00:00"/>
    <n v="2"/>
    <n v="12170"/>
  </r>
  <r>
    <s v="P0394"/>
    <s v="Kiran Rather"/>
    <n v="81"/>
    <x v="0"/>
    <x v="9"/>
    <x v="1"/>
    <d v="2025-05-23T00:00:00"/>
    <x v="6"/>
    <d v="2025-06-01T00:00:00"/>
    <n v="9"/>
    <n v="53595"/>
  </r>
  <r>
    <s v="P0395"/>
    <s v="Priya Ali"/>
    <n v="74"/>
    <x v="0"/>
    <x v="3"/>
    <x v="4"/>
    <d v="2025-05-26T00:00:00"/>
    <x v="6"/>
    <d v="2025-06-05T00:00:00"/>
    <n v="10"/>
    <n v="50590"/>
  </r>
  <r>
    <s v="P0396"/>
    <s v="Adil Malik"/>
    <n v="20"/>
    <x v="0"/>
    <x v="3"/>
    <x v="5"/>
    <d v="2025-09-18T00:00:00"/>
    <x v="2"/>
    <d v="2025-09-19T00:00:00"/>
    <n v="1"/>
    <n v="10569"/>
  </r>
  <r>
    <s v="P0397"/>
    <s v="Arjun Verma"/>
    <n v="67"/>
    <x v="1"/>
    <x v="2"/>
    <x v="4"/>
    <d v="2025-03-07T00:00:00"/>
    <x v="4"/>
    <d v="2025-03-18T00:00:00"/>
    <n v="11"/>
    <n v="71379"/>
  </r>
  <r>
    <s v="P0398"/>
    <s v="Kiran Kapoor"/>
    <n v="44"/>
    <x v="0"/>
    <x v="4"/>
    <x v="2"/>
    <d v="2025-04-28T00:00:00"/>
    <x v="5"/>
    <d v="2025-05-13T00:00:00"/>
    <n v="15"/>
    <n v="179370"/>
  </r>
  <r>
    <s v="P0399"/>
    <s v="Priya Singh"/>
    <n v="54"/>
    <x v="1"/>
    <x v="4"/>
    <x v="4"/>
    <d v="2025-07-17T00:00:00"/>
    <x v="10"/>
    <d v="2025-08-01T00:00:00"/>
    <n v="15"/>
    <n v="143610"/>
  </r>
  <r>
    <s v="P0400"/>
    <s v="Kiran Sharma"/>
    <n v="85"/>
    <x v="0"/>
    <x v="7"/>
    <x v="1"/>
    <d v="2025-06-16T00:00:00"/>
    <x v="7"/>
    <d v="2025-07-01T00:00:00"/>
    <n v="15"/>
    <n v="145845"/>
  </r>
  <r>
    <s v="P0401"/>
    <s v="Adil Singh"/>
    <n v="37"/>
    <x v="1"/>
    <x v="9"/>
    <x v="0"/>
    <d v="2025-10-20T00:00:00"/>
    <x v="11"/>
    <d v="2025-10-29T00:00:00"/>
    <n v="9"/>
    <n v="72126"/>
  </r>
  <r>
    <s v="P0402"/>
    <s v="Anita Kumar"/>
    <n v="12"/>
    <x v="1"/>
    <x v="7"/>
    <x v="7"/>
    <d v="2025-11-03T00:00:00"/>
    <x v="9"/>
    <d v="2025-11-05T00:00:00"/>
    <n v="2"/>
    <n v="12256"/>
  </r>
  <r>
    <s v="P0403"/>
    <s v="Aman Ali"/>
    <n v="88"/>
    <x v="0"/>
    <x v="8"/>
    <x v="1"/>
    <d v="2025-02-01T00:00:00"/>
    <x v="3"/>
    <d v="2025-02-08T00:00:00"/>
    <n v="7"/>
    <n v="61068"/>
  </r>
  <r>
    <s v="P0404"/>
    <s v="Kiran Kapoor"/>
    <n v="66"/>
    <x v="0"/>
    <x v="0"/>
    <x v="0"/>
    <d v="2025-12-18T00:00:00"/>
    <x v="0"/>
    <d v="2025-12-28T00:00:00"/>
    <n v="10"/>
    <n v="89460"/>
  </r>
  <r>
    <s v="P0405"/>
    <s v="Anita Verma"/>
    <n v="23"/>
    <x v="1"/>
    <x v="9"/>
    <x v="4"/>
    <d v="2025-03-27T00:00:00"/>
    <x v="4"/>
    <d v="2025-03-28T00:00:00"/>
    <n v="1"/>
    <n v="5296"/>
  </r>
  <r>
    <s v="P0406"/>
    <s v="Anita Singh"/>
    <n v="81"/>
    <x v="0"/>
    <x v="7"/>
    <x v="2"/>
    <d v="2025-07-31T00:00:00"/>
    <x v="10"/>
    <d v="2025-08-12T00:00:00"/>
    <n v="12"/>
    <n v="140400"/>
  </r>
  <r>
    <s v="P0407"/>
    <s v="Neha Gupta"/>
    <n v="62"/>
    <x v="1"/>
    <x v="8"/>
    <x v="7"/>
    <d v="2025-11-16T00:00:00"/>
    <x v="9"/>
    <d v="2025-11-30T00:00:00"/>
    <n v="14"/>
    <n v="119938"/>
  </r>
  <r>
    <s v="P0408"/>
    <s v="Mehak Verma"/>
    <n v="2"/>
    <x v="1"/>
    <x v="2"/>
    <x v="7"/>
    <d v="2025-10-06T00:00:00"/>
    <x v="11"/>
    <d v="2025-10-17T00:00:00"/>
    <n v="11"/>
    <n v="70576"/>
  </r>
  <r>
    <s v="P0409"/>
    <s v="Rohit Ali"/>
    <n v="20"/>
    <x v="0"/>
    <x v="2"/>
    <x v="3"/>
    <d v="2025-02-26T00:00:00"/>
    <x v="3"/>
    <d v="2025-03-01T00:00:00"/>
    <n v="3"/>
    <n v="30087"/>
  </r>
  <r>
    <s v="P0410"/>
    <s v="Zara Khan"/>
    <n v="1"/>
    <x v="1"/>
    <x v="1"/>
    <x v="1"/>
    <d v="2025-01-18T00:00:00"/>
    <x v="1"/>
    <d v="2025-01-30T00:00:00"/>
    <n v="12"/>
    <n v="138720"/>
  </r>
  <r>
    <s v="P0411"/>
    <s v="Pooja Khan"/>
    <n v="20"/>
    <x v="1"/>
    <x v="3"/>
    <x v="1"/>
    <d v="2025-08-09T00:00:00"/>
    <x v="8"/>
    <d v="2025-08-24T00:00:00"/>
    <n v="15"/>
    <n v="80655"/>
  </r>
  <r>
    <s v="P0412"/>
    <s v="Mehak Kapoor"/>
    <n v="54"/>
    <x v="1"/>
    <x v="6"/>
    <x v="3"/>
    <d v="2025-06-29T00:00:00"/>
    <x v="7"/>
    <d v="2025-07-11T00:00:00"/>
    <n v="12"/>
    <n v="104232"/>
  </r>
  <r>
    <s v="P0413"/>
    <s v="Pooja Sharma"/>
    <n v="12"/>
    <x v="0"/>
    <x v="3"/>
    <x v="0"/>
    <d v="2025-04-05T00:00:00"/>
    <x v="5"/>
    <d v="2025-04-15T00:00:00"/>
    <n v="10"/>
    <n v="97370"/>
  </r>
  <r>
    <s v="P0414"/>
    <s v="Priya Verma"/>
    <n v="88"/>
    <x v="0"/>
    <x v="6"/>
    <x v="0"/>
    <d v="2025-01-04T00:00:00"/>
    <x v="1"/>
    <d v="2025-01-10T00:00:00"/>
    <n v="6"/>
    <n v="26760"/>
  </r>
  <r>
    <s v="P0415"/>
    <s v="Zara Verma"/>
    <n v="70"/>
    <x v="0"/>
    <x v="8"/>
    <x v="5"/>
    <d v="2025-07-10T00:00:00"/>
    <x v="10"/>
    <d v="2025-07-25T00:00:00"/>
    <n v="15"/>
    <n v="100305"/>
  </r>
  <r>
    <s v="P0416"/>
    <s v="Arjun Gupta"/>
    <n v="56"/>
    <x v="1"/>
    <x v="3"/>
    <x v="7"/>
    <d v="2025-05-10T00:00:00"/>
    <x v="6"/>
    <d v="2025-05-13T00:00:00"/>
    <n v="3"/>
    <n v="12888"/>
  </r>
  <r>
    <s v="P0417"/>
    <s v="Priya Rather"/>
    <n v="26"/>
    <x v="1"/>
    <x v="8"/>
    <x v="1"/>
    <d v="2025-04-12T00:00:00"/>
    <x v="5"/>
    <d v="2025-04-21T00:00:00"/>
    <n v="9"/>
    <n v="84852"/>
  </r>
  <r>
    <s v="P0418"/>
    <s v="Adil Gupta"/>
    <n v="90"/>
    <x v="0"/>
    <x v="3"/>
    <x v="0"/>
    <d v="2025-03-04T00:00:00"/>
    <x v="4"/>
    <d v="2025-03-18T00:00:00"/>
    <n v="14"/>
    <n v="115528"/>
  </r>
  <r>
    <s v="P0419"/>
    <s v="Sara Sharma"/>
    <n v="16"/>
    <x v="0"/>
    <x v="2"/>
    <x v="2"/>
    <d v="2025-12-22T00:00:00"/>
    <x v="0"/>
    <d v="2025-12-29T00:00:00"/>
    <n v="7"/>
    <n v="48412"/>
  </r>
  <r>
    <s v="P0420"/>
    <s v="Priya Rather"/>
    <n v="15"/>
    <x v="1"/>
    <x v="8"/>
    <x v="0"/>
    <d v="2025-05-23T00:00:00"/>
    <x v="6"/>
    <d v="2025-06-05T00:00:00"/>
    <n v="13"/>
    <n v="118898"/>
  </r>
  <r>
    <s v="P0421"/>
    <s v="Arjun Gupta"/>
    <n v="42"/>
    <x v="1"/>
    <x v="0"/>
    <x v="1"/>
    <d v="2025-05-06T00:00:00"/>
    <x v="6"/>
    <d v="2025-05-18T00:00:00"/>
    <n v="12"/>
    <n v="130812"/>
  </r>
  <r>
    <s v="P0422"/>
    <s v="Adil Sharma"/>
    <n v="57"/>
    <x v="0"/>
    <x v="7"/>
    <x v="4"/>
    <d v="2025-06-02T00:00:00"/>
    <x v="7"/>
    <d v="2025-06-11T00:00:00"/>
    <n v="9"/>
    <n v="47574"/>
  </r>
  <r>
    <s v="P0423"/>
    <s v="Arjun Singh"/>
    <n v="27"/>
    <x v="0"/>
    <x v="3"/>
    <x v="6"/>
    <d v="2025-07-23T00:00:00"/>
    <x v="10"/>
    <d v="2025-08-02T00:00:00"/>
    <n v="10"/>
    <n v="120000"/>
  </r>
  <r>
    <s v="P0424"/>
    <s v="Neha Ali"/>
    <n v="47"/>
    <x v="1"/>
    <x v="6"/>
    <x v="2"/>
    <d v="2025-12-01T00:00:00"/>
    <x v="0"/>
    <d v="2025-12-13T00:00:00"/>
    <n v="12"/>
    <n v="138084"/>
  </r>
  <r>
    <s v="P0425"/>
    <s v="Anita Gupta"/>
    <n v="50"/>
    <x v="1"/>
    <x v="2"/>
    <x v="2"/>
    <d v="2025-03-16T00:00:00"/>
    <x v="4"/>
    <d v="2025-03-20T00:00:00"/>
    <n v="4"/>
    <n v="22636"/>
  </r>
  <r>
    <s v="P0426"/>
    <s v="Sara Malik"/>
    <n v="36"/>
    <x v="1"/>
    <x v="2"/>
    <x v="0"/>
    <d v="2025-07-03T00:00:00"/>
    <x v="10"/>
    <d v="2025-07-11T00:00:00"/>
    <n v="8"/>
    <n v="57104"/>
  </r>
  <r>
    <s v="P0427"/>
    <s v="Sara Kapoor"/>
    <n v="13"/>
    <x v="1"/>
    <x v="8"/>
    <x v="3"/>
    <d v="2025-01-22T00:00:00"/>
    <x v="1"/>
    <d v="2025-02-03T00:00:00"/>
    <n v="12"/>
    <n v="128808"/>
  </r>
  <r>
    <s v="P0428"/>
    <s v="Kiran Singh"/>
    <n v="58"/>
    <x v="1"/>
    <x v="3"/>
    <x v="4"/>
    <d v="2025-03-04T00:00:00"/>
    <x v="4"/>
    <d v="2025-03-12T00:00:00"/>
    <n v="8"/>
    <n v="70840"/>
  </r>
  <r>
    <s v="P0429"/>
    <s v="Adil Verma"/>
    <n v="76"/>
    <x v="0"/>
    <x v="9"/>
    <x v="3"/>
    <d v="2025-01-16T00:00:00"/>
    <x v="1"/>
    <d v="2025-01-21T00:00:00"/>
    <n v="5"/>
    <n v="50985"/>
  </r>
  <r>
    <s v="P0430"/>
    <s v="Zara Kumar"/>
    <n v="33"/>
    <x v="0"/>
    <x v="6"/>
    <x v="2"/>
    <d v="2025-11-08T00:00:00"/>
    <x v="9"/>
    <d v="2025-11-10T00:00:00"/>
    <n v="2"/>
    <n v="10104"/>
  </r>
  <r>
    <s v="P0431"/>
    <s v="Imran Ali"/>
    <n v="70"/>
    <x v="1"/>
    <x v="9"/>
    <x v="5"/>
    <d v="2025-08-10T00:00:00"/>
    <x v="8"/>
    <d v="2025-08-14T00:00:00"/>
    <n v="4"/>
    <n v="40804"/>
  </r>
  <r>
    <s v="P0432"/>
    <s v="Adil Rather"/>
    <n v="69"/>
    <x v="1"/>
    <x v="5"/>
    <x v="0"/>
    <d v="2025-12-26T00:00:00"/>
    <x v="0"/>
    <d v="2026-01-01T00:00:00"/>
    <n v="6"/>
    <n v="56766"/>
  </r>
  <r>
    <s v="P0433"/>
    <s v="Aman Kapoor"/>
    <n v="67"/>
    <x v="1"/>
    <x v="5"/>
    <x v="3"/>
    <d v="2025-05-13T00:00:00"/>
    <x v="6"/>
    <d v="2025-05-16T00:00:00"/>
    <n v="3"/>
    <n v="26751"/>
  </r>
  <r>
    <s v="P0434"/>
    <s v="Imran Sharma"/>
    <n v="88"/>
    <x v="0"/>
    <x v="7"/>
    <x v="1"/>
    <d v="2025-12-28T00:00:00"/>
    <x v="0"/>
    <d v="2026-01-07T00:00:00"/>
    <n v="10"/>
    <n v="53830"/>
  </r>
  <r>
    <s v="P0435"/>
    <s v="Rahul Kumar"/>
    <n v="47"/>
    <x v="0"/>
    <x v="6"/>
    <x v="1"/>
    <d v="2025-04-22T00:00:00"/>
    <x v="5"/>
    <d v="2025-04-29T00:00:00"/>
    <n v="7"/>
    <n v="32613"/>
  </r>
  <r>
    <s v="P0436"/>
    <s v="Pooja Malik"/>
    <n v="48"/>
    <x v="1"/>
    <x v="1"/>
    <x v="6"/>
    <d v="2025-11-04T00:00:00"/>
    <x v="9"/>
    <d v="2025-11-10T00:00:00"/>
    <n v="6"/>
    <n v="53052"/>
  </r>
  <r>
    <s v="P0437"/>
    <s v="Neha Malik"/>
    <n v="89"/>
    <x v="1"/>
    <x v="3"/>
    <x v="1"/>
    <d v="2025-08-23T00:00:00"/>
    <x v="8"/>
    <d v="2025-09-06T00:00:00"/>
    <n v="14"/>
    <n v="64484"/>
  </r>
  <r>
    <s v="P0438"/>
    <s v="Rohit Gupta"/>
    <n v="75"/>
    <x v="0"/>
    <x v="8"/>
    <x v="0"/>
    <d v="2025-12-18T00:00:00"/>
    <x v="0"/>
    <d v="2026-01-02T00:00:00"/>
    <n v="15"/>
    <n v="110655"/>
  </r>
  <r>
    <s v="P0439"/>
    <s v="Neha Ali"/>
    <n v="16"/>
    <x v="0"/>
    <x v="0"/>
    <x v="2"/>
    <d v="2025-05-19T00:00:00"/>
    <x v="6"/>
    <d v="2025-05-25T00:00:00"/>
    <n v="6"/>
    <n v="57054"/>
  </r>
  <r>
    <s v="P0440"/>
    <s v="Mehak Sharma"/>
    <n v="38"/>
    <x v="1"/>
    <x v="9"/>
    <x v="4"/>
    <d v="2025-05-27T00:00:00"/>
    <x v="6"/>
    <d v="2025-06-08T00:00:00"/>
    <n v="12"/>
    <n v="136380"/>
  </r>
  <r>
    <s v="P0441"/>
    <s v="Anita Khan"/>
    <n v="85"/>
    <x v="1"/>
    <x v="1"/>
    <x v="0"/>
    <d v="2025-02-23T00:00:00"/>
    <x v="3"/>
    <d v="2025-03-02T00:00:00"/>
    <n v="7"/>
    <n v="69832"/>
  </r>
  <r>
    <s v="P0442"/>
    <s v="Kiran Kapoor"/>
    <n v="21"/>
    <x v="0"/>
    <x v="0"/>
    <x v="2"/>
    <d v="2025-09-19T00:00:00"/>
    <x v="2"/>
    <d v="2025-09-27T00:00:00"/>
    <n v="8"/>
    <n v="42944"/>
  </r>
  <r>
    <s v="P0443"/>
    <s v="Mehak Malik"/>
    <n v="59"/>
    <x v="1"/>
    <x v="6"/>
    <x v="4"/>
    <d v="2025-01-30T00:00:00"/>
    <x v="1"/>
    <d v="2025-02-14T00:00:00"/>
    <n v="15"/>
    <n v="161520"/>
  </r>
  <r>
    <s v="P0444"/>
    <s v="Anita Gupta"/>
    <n v="15"/>
    <x v="1"/>
    <x v="3"/>
    <x v="0"/>
    <d v="2025-07-07T00:00:00"/>
    <x v="10"/>
    <d v="2025-07-19T00:00:00"/>
    <n v="12"/>
    <n v="73080"/>
  </r>
  <r>
    <s v="P0445"/>
    <s v="Sara Singh"/>
    <n v="36"/>
    <x v="0"/>
    <x v="0"/>
    <x v="3"/>
    <d v="2025-05-19T00:00:00"/>
    <x v="6"/>
    <d v="2025-05-20T00:00:00"/>
    <n v="1"/>
    <n v="5624"/>
  </r>
  <r>
    <s v="P0446"/>
    <s v="Pooja Khan"/>
    <n v="2"/>
    <x v="0"/>
    <x v="6"/>
    <x v="4"/>
    <d v="2025-02-26T00:00:00"/>
    <x v="3"/>
    <d v="2025-02-27T00:00:00"/>
    <n v="1"/>
    <n v="7215"/>
  </r>
  <r>
    <s v="P0447"/>
    <s v="Aman Sharma"/>
    <n v="51"/>
    <x v="1"/>
    <x v="2"/>
    <x v="5"/>
    <d v="2025-06-15T00:00:00"/>
    <x v="7"/>
    <d v="2025-06-28T00:00:00"/>
    <n v="13"/>
    <n v="133939"/>
  </r>
  <r>
    <s v="P0448"/>
    <s v="Priya Kapoor"/>
    <n v="19"/>
    <x v="0"/>
    <x v="8"/>
    <x v="5"/>
    <d v="2025-04-06T00:00:00"/>
    <x v="5"/>
    <d v="2025-04-21T00:00:00"/>
    <n v="15"/>
    <n v="148215"/>
  </r>
  <r>
    <s v="P0449"/>
    <s v="Arjun Singh"/>
    <n v="43"/>
    <x v="1"/>
    <x v="7"/>
    <x v="6"/>
    <d v="2025-11-12T00:00:00"/>
    <x v="9"/>
    <d v="2025-11-18T00:00:00"/>
    <n v="6"/>
    <n v="65766"/>
  </r>
  <r>
    <s v="P0450"/>
    <s v="Kiran Ali"/>
    <n v="69"/>
    <x v="0"/>
    <x v="1"/>
    <x v="7"/>
    <d v="2025-12-04T00:00:00"/>
    <x v="0"/>
    <d v="2025-12-15T00:00:00"/>
    <n v="11"/>
    <n v="81433"/>
  </r>
  <r>
    <s v="P0451"/>
    <s v="Rohit Khan"/>
    <n v="25"/>
    <x v="1"/>
    <x v="0"/>
    <x v="7"/>
    <d v="2025-02-25T00:00:00"/>
    <x v="3"/>
    <d v="2025-03-08T00:00:00"/>
    <n v="11"/>
    <n v="66264"/>
  </r>
  <r>
    <s v="P0452"/>
    <s v="Adil Verma"/>
    <n v="9"/>
    <x v="0"/>
    <x v="2"/>
    <x v="7"/>
    <d v="2025-06-11T00:00:00"/>
    <x v="7"/>
    <d v="2025-06-22T00:00:00"/>
    <n v="11"/>
    <n v="109274"/>
  </r>
  <r>
    <s v="P0453"/>
    <s v="Priya Rather"/>
    <n v="6"/>
    <x v="0"/>
    <x v="4"/>
    <x v="6"/>
    <d v="2025-05-13T00:00:00"/>
    <x v="6"/>
    <d v="2025-05-27T00:00:00"/>
    <n v="14"/>
    <n v="57666"/>
  </r>
  <r>
    <s v="P0454"/>
    <s v="Priya Rather"/>
    <n v="40"/>
    <x v="1"/>
    <x v="3"/>
    <x v="6"/>
    <d v="2025-08-10T00:00:00"/>
    <x v="8"/>
    <d v="2025-08-23T00:00:00"/>
    <n v="13"/>
    <n v="143923"/>
  </r>
  <r>
    <s v="P0455"/>
    <s v="Rohit Kumar"/>
    <n v="6"/>
    <x v="0"/>
    <x v="8"/>
    <x v="0"/>
    <d v="2025-12-19T00:00:00"/>
    <x v="0"/>
    <d v="2025-12-22T00:00:00"/>
    <n v="3"/>
    <n v="28863"/>
  </r>
  <r>
    <s v="P0456"/>
    <s v="Arjun Kumar"/>
    <n v="2"/>
    <x v="0"/>
    <x v="7"/>
    <x v="6"/>
    <d v="2025-04-11T00:00:00"/>
    <x v="5"/>
    <d v="2025-04-19T00:00:00"/>
    <n v="8"/>
    <n v="71560"/>
  </r>
  <r>
    <s v="P0457"/>
    <s v="Neha Kumar"/>
    <n v="75"/>
    <x v="0"/>
    <x v="7"/>
    <x v="7"/>
    <d v="2025-03-19T00:00:00"/>
    <x v="4"/>
    <d v="2025-04-02T00:00:00"/>
    <n v="14"/>
    <n v="65996"/>
  </r>
  <r>
    <s v="P0458"/>
    <s v="Anita Singh"/>
    <n v="64"/>
    <x v="0"/>
    <x v="6"/>
    <x v="3"/>
    <d v="2025-06-15T00:00:00"/>
    <x v="7"/>
    <d v="2025-06-19T00:00:00"/>
    <n v="4"/>
    <n v="26316"/>
  </r>
  <r>
    <s v="P0459"/>
    <s v="Arjun Kapoor"/>
    <n v="86"/>
    <x v="1"/>
    <x v="6"/>
    <x v="4"/>
    <d v="2025-10-07T00:00:00"/>
    <x v="11"/>
    <d v="2025-10-14T00:00:00"/>
    <n v="7"/>
    <n v="67620"/>
  </r>
  <r>
    <s v="P0460"/>
    <s v="Rahul Kapoor"/>
    <n v="27"/>
    <x v="0"/>
    <x v="0"/>
    <x v="2"/>
    <d v="2025-11-02T00:00:00"/>
    <x v="9"/>
    <d v="2025-11-06T00:00:00"/>
    <n v="4"/>
    <n v="28984"/>
  </r>
  <r>
    <s v="P0461"/>
    <s v="Rohit Khan"/>
    <n v="47"/>
    <x v="0"/>
    <x v="0"/>
    <x v="7"/>
    <d v="2025-07-11T00:00:00"/>
    <x v="10"/>
    <d v="2025-07-16T00:00:00"/>
    <n v="5"/>
    <n v="25390"/>
  </r>
  <r>
    <s v="P0462"/>
    <s v="Zara Gupta"/>
    <n v="72"/>
    <x v="0"/>
    <x v="3"/>
    <x v="4"/>
    <d v="2025-10-29T00:00:00"/>
    <x v="11"/>
    <d v="2025-10-31T00:00:00"/>
    <n v="2"/>
    <n v="17000"/>
  </r>
  <r>
    <s v="P0463"/>
    <s v="Vikas Malik"/>
    <n v="9"/>
    <x v="1"/>
    <x v="7"/>
    <x v="3"/>
    <d v="2025-08-25T00:00:00"/>
    <x v="8"/>
    <d v="2025-08-27T00:00:00"/>
    <n v="2"/>
    <n v="10030"/>
  </r>
  <r>
    <s v="P0464"/>
    <s v="Anita Ali"/>
    <n v="23"/>
    <x v="1"/>
    <x v="5"/>
    <x v="6"/>
    <d v="2025-03-10T00:00:00"/>
    <x v="4"/>
    <d v="2025-03-14T00:00:00"/>
    <n v="4"/>
    <n v="21420"/>
  </r>
  <r>
    <s v="P0465"/>
    <s v="Sara Malik"/>
    <n v="76"/>
    <x v="1"/>
    <x v="4"/>
    <x v="6"/>
    <d v="2025-11-16T00:00:00"/>
    <x v="9"/>
    <d v="2025-11-23T00:00:00"/>
    <n v="7"/>
    <n v="45899"/>
  </r>
  <r>
    <s v="P0466"/>
    <s v="Priya Kapoor"/>
    <n v="27"/>
    <x v="0"/>
    <x v="7"/>
    <x v="2"/>
    <d v="2025-01-23T00:00:00"/>
    <x v="1"/>
    <d v="2025-02-02T00:00:00"/>
    <n v="10"/>
    <n v="92630"/>
  </r>
  <r>
    <s v="P0467"/>
    <s v="Pooja Khan"/>
    <n v="55"/>
    <x v="1"/>
    <x v="9"/>
    <x v="6"/>
    <d v="2025-03-30T00:00:00"/>
    <x v="4"/>
    <d v="2025-04-08T00:00:00"/>
    <n v="9"/>
    <n v="74151"/>
  </r>
  <r>
    <s v="P0468"/>
    <s v="Anita Gupta"/>
    <n v="73"/>
    <x v="0"/>
    <x v="2"/>
    <x v="2"/>
    <d v="2025-04-05T00:00:00"/>
    <x v="5"/>
    <d v="2025-04-19T00:00:00"/>
    <n v="14"/>
    <n v="57064"/>
  </r>
  <r>
    <s v="P0469"/>
    <s v="Pooja Malik"/>
    <n v="49"/>
    <x v="1"/>
    <x v="5"/>
    <x v="7"/>
    <d v="2025-09-25T00:00:00"/>
    <x v="2"/>
    <d v="2025-10-05T00:00:00"/>
    <n v="10"/>
    <n v="105610"/>
  </r>
  <r>
    <s v="P0470"/>
    <s v="Zara Kumar"/>
    <n v="36"/>
    <x v="0"/>
    <x v="3"/>
    <x v="7"/>
    <d v="2025-08-13T00:00:00"/>
    <x v="8"/>
    <d v="2025-08-23T00:00:00"/>
    <n v="10"/>
    <n v="73210"/>
  </r>
  <r>
    <s v="P0471"/>
    <s v="Vikas Singh"/>
    <n v="19"/>
    <x v="1"/>
    <x v="3"/>
    <x v="7"/>
    <d v="2025-10-31T00:00:00"/>
    <x v="11"/>
    <d v="2025-11-02T00:00:00"/>
    <n v="2"/>
    <n v="13854"/>
  </r>
  <r>
    <s v="P0472"/>
    <s v="Mehak Khan"/>
    <n v="16"/>
    <x v="0"/>
    <x v="8"/>
    <x v="2"/>
    <d v="2025-01-14T00:00:00"/>
    <x v="1"/>
    <d v="2025-01-20T00:00:00"/>
    <n v="6"/>
    <n v="31194"/>
  </r>
  <r>
    <s v="P0473"/>
    <s v="Aman Rather"/>
    <n v="43"/>
    <x v="1"/>
    <x v="3"/>
    <x v="0"/>
    <d v="2025-04-29T00:00:00"/>
    <x v="5"/>
    <d v="2025-04-30T00:00:00"/>
    <n v="1"/>
    <n v="8242"/>
  </r>
  <r>
    <s v="P0474"/>
    <s v="Neha Gupta"/>
    <n v="5"/>
    <x v="1"/>
    <x v="3"/>
    <x v="5"/>
    <d v="2025-08-19T00:00:00"/>
    <x v="8"/>
    <d v="2025-08-28T00:00:00"/>
    <n v="9"/>
    <n v="86616"/>
  </r>
  <r>
    <s v="P0475"/>
    <s v="Vikas Gupta"/>
    <n v="66"/>
    <x v="0"/>
    <x v="0"/>
    <x v="1"/>
    <d v="2025-10-06T00:00:00"/>
    <x v="11"/>
    <d v="2025-10-12T00:00:00"/>
    <n v="6"/>
    <n v="35304"/>
  </r>
  <r>
    <s v="P0476"/>
    <s v="Pooja Kumar"/>
    <n v="42"/>
    <x v="1"/>
    <x v="1"/>
    <x v="7"/>
    <d v="2025-12-01T00:00:00"/>
    <x v="0"/>
    <d v="2025-12-06T00:00:00"/>
    <n v="5"/>
    <n v="35275"/>
  </r>
  <r>
    <s v="P0477"/>
    <s v="Priya Kumar"/>
    <n v="16"/>
    <x v="1"/>
    <x v="1"/>
    <x v="2"/>
    <d v="2025-08-25T00:00:00"/>
    <x v="8"/>
    <d v="2025-09-03T00:00:00"/>
    <n v="9"/>
    <n v="92979"/>
  </r>
  <r>
    <s v="P0478"/>
    <s v="Pooja Rather"/>
    <n v="75"/>
    <x v="1"/>
    <x v="1"/>
    <x v="3"/>
    <d v="2025-12-23T00:00:00"/>
    <x v="0"/>
    <d v="2026-01-03T00:00:00"/>
    <n v="11"/>
    <n v="77704"/>
  </r>
  <r>
    <s v="P0479"/>
    <s v="Pooja Rather"/>
    <n v="9"/>
    <x v="1"/>
    <x v="0"/>
    <x v="4"/>
    <d v="2025-01-30T00:00:00"/>
    <x v="1"/>
    <d v="2025-02-03T00:00:00"/>
    <n v="4"/>
    <n v="38200"/>
  </r>
  <r>
    <s v="P0480"/>
    <s v="Rahul Ali"/>
    <n v="22"/>
    <x v="1"/>
    <x v="5"/>
    <x v="4"/>
    <d v="2025-10-19T00:00:00"/>
    <x v="11"/>
    <d v="2025-11-02T00:00:00"/>
    <n v="14"/>
    <n v="70168"/>
  </r>
  <r>
    <s v="P0481"/>
    <s v="Priya Malik"/>
    <n v="51"/>
    <x v="1"/>
    <x v="6"/>
    <x v="0"/>
    <d v="2025-03-13T00:00:00"/>
    <x v="4"/>
    <d v="2025-03-18T00:00:00"/>
    <n v="5"/>
    <n v="29285"/>
  </r>
  <r>
    <s v="P0482"/>
    <s v="Adil Rather"/>
    <n v="67"/>
    <x v="1"/>
    <x v="7"/>
    <x v="1"/>
    <d v="2025-12-31T00:00:00"/>
    <x v="0"/>
    <d v="2026-01-15T00:00:00"/>
    <n v="15"/>
    <n v="139725"/>
  </r>
  <r>
    <s v="P0483"/>
    <s v="Priya Gupta"/>
    <n v="57"/>
    <x v="1"/>
    <x v="7"/>
    <x v="5"/>
    <d v="2025-01-27T00:00:00"/>
    <x v="1"/>
    <d v="2025-01-31T00:00:00"/>
    <n v="4"/>
    <n v="46588"/>
  </r>
  <r>
    <s v="P0484"/>
    <s v="Rahul Khan"/>
    <n v="90"/>
    <x v="1"/>
    <x v="1"/>
    <x v="3"/>
    <d v="2025-07-06T00:00:00"/>
    <x v="10"/>
    <d v="2025-07-18T00:00:00"/>
    <n v="12"/>
    <n v="121368"/>
  </r>
  <r>
    <s v="P0485"/>
    <s v="Imran Kapoor"/>
    <n v="49"/>
    <x v="0"/>
    <x v="4"/>
    <x v="3"/>
    <d v="2025-01-27T00:00:00"/>
    <x v="1"/>
    <d v="2025-02-03T00:00:00"/>
    <n v="7"/>
    <n v="66766"/>
  </r>
  <r>
    <s v="P0486"/>
    <s v="Sara Gupta"/>
    <n v="6"/>
    <x v="1"/>
    <x v="9"/>
    <x v="5"/>
    <d v="2025-10-14T00:00:00"/>
    <x v="11"/>
    <d v="2025-10-23T00:00:00"/>
    <n v="9"/>
    <n v="46161"/>
  </r>
  <r>
    <s v="P0487"/>
    <s v="Arjun Kumar"/>
    <n v="28"/>
    <x v="1"/>
    <x v="7"/>
    <x v="1"/>
    <d v="2025-02-21T00:00:00"/>
    <x v="3"/>
    <d v="2025-02-24T00:00:00"/>
    <n v="3"/>
    <n v="18201"/>
  </r>
  <r>
    <s v="P0488"/>
    <s v="Aman Kumar"/>
    <n v="57"/>
    <x v="0"/>
    <x v="3"/>
    <x v="7"/>
    <d v="2025-11-09T00:00:00"/>
    <x v="9"/>
    <d v="2025-11-24T00:00:00"/>
    <n v="15"/>
    <n v="137100"/>
  </r>
  <r>
    <s v="P0489"/>
    <s v="Pooja Rather"/>
    <n v="46"/>
    <x v="1"/>
    <x v="0"/>
    <x v="5"/>
    <d v="2025-08-10T00:00:00"/>
    <x v="8"/>
    <d v="2025-08-13T00:00:00"/>
    <n v="3"/>
    <n v="29097"/>
  </r>
  <r>
    <s v="P0490"/>
    <s v="Kiran Kumar"/>
    <n v="78"/>
    <x v="1"/>
    <x v="2"/>
    <x v="0"/>
    <d v="2025-03-14T00:00:00"/>
    <x v="4"/>
    <d v="2025-03-16T00:00:00"/>
    <n v="2"/>
    <n v="8942"/>
  </r>
  <r>
    <s v="P0491"/>
    <s v="Anita Malik"/>
    <n v="55"/>
    <x v="1"/>
    <x v="0"/>
    <x v="5"/>
    <d v="2025-04-28T00:00:00"/>
    <x v="5"/>
    <d v="2025-05-02T00:00:00"/>
    <n v="4"/>
    <n v="35572"/>
  </r>
  <r>
    <s v="P0492"/>
    <s v="Aman Kumar"/>
    <n v="20"/>
    <x v="0"/>
    <x v="6"/>
    <x v="4"/>
    <d v="2025-11-17T00:00:00"/>
    <x v="9"/>
    <d v="2025-11-20T00:00:00"/>
    <n v="3"/>
    <n v="19905"/>
  </r>
  <r>
    <s v="P0493"/>
    <s v="Anita Kapoor"/>
    <n v="23"/>
    <x v="0"/>
    <x v="8"/>
    <x v="0"/>
    <d v="2025-01-23T00:00:00"/>
    <x v="1"/>
    <d v="2025-01-26T00:00:00"/>
    <n v="3"/>
    <n v="15570"/>
  </r>
  <r>
    <s v="P0494"/>
    <s v="Sara Verma"/>
    <n v="41"/>
    <x v="1"/>
    <x v="6"/>
    <x v="6"/>
    <d v="2025-09-25T00:00:00"/>
    <x v="2"/>
    <d v="2025-10-07T00:00:00"/>
    <n v="12"/>
    <n v="75240"/>
  </r>
  <r>
    <s v="P0495"/>
    <s v="Zara Rather"/>
    <n v="69"/>
    <x v="1"/>
    <x v="2"/>
    <x v="4"/>
    <d v="2025-09-05T00:00:00"/>
    <x v="2"/>
    <d v="2025-09-13T00:00:00"/>
    <n v="8"/>
    <n v="73768"/>
  </r>
  <r>
    <s v="P0496"/>
    <s v="Arjun Gupta"/>
    <n v="8"/>
    <x v="1"/>
    <x v="8"/>
    <x v="7"/>
    <d v="2025-11-15T00:00:00"/>
    <x v="9"/>
    <d v="2025-11-27T00:00:00"/>
    <n v="12"/>
    <n v="73284"/>
  </r>
  <r>
    <s v="P0497"/>
    <s v="Pooja Rather"/>
    <n v="69"/>
    <x v="1"/>
    <x v="7"/>
    <x v="3"/>
    <d v="2025-12-20T00:00:00"/>
    <x v="0"/>
    <d v="2026-01-02T00:00:00"/>
    <n v="13"/>
    <n v="114998"/>
  </r>
  <r>
    <s v="P0498"/>
    <s v="Priya Malik"/>
    <n v="43"/>
    <x v="0"/>
    <x v="6"/>
    <x v="7"/>
    <d v="2025-08-26T00:00:00"/>
    <x v="8"/>
    <d v="2025-09-05T00:00:00"/>
    <n v="10"/>
    <n v="114440"/>
  </r>
  <r>
    <s v="P0499"/>
    <s v="Adil Verma"/>
    <n v="26"/>
    <x v="0"/>
    <x v="2"/>
    <x v="4"/>
    <d v="2025-08-18T00:00:00"/>
    <x v="8"/>
    <d v="2025-08-19T00:00:00"/>
    <n v="1"/>
    <n v="6054"/>
  </r>
  <r>
    <s v="P0500"/>
    <s v="Vikas Verma"/>
    <n v="36"/>
    <x v="0"/>
    <x v="2"/>
    <x v="0"/>
    <d v="2025-12-10T00:00:00"/>
    <x v="0"/>
    <d v="2025-12-19T00:00:00"/>
    <n v="9"/>
    <n v="87228"/>
  </r>
  <r>
    <s v="P0501"/>
    <s v="Priya Singh"/>
    <n v="84"/>
    <x v="1"/>
    <x v="5"/>
    <x v="4"/>
    <d v="2025-02-17T00:00:00"/>
    <x v="3"/>
    <d v="2025-02-20T00:00:00"/>
    <n v="3"/>
    <n v="24471"/>
  </r>
  <r>
    <s v="P0502"/>
    <s v="Kiran Singh"/>
    <n v="54"/>
    <x v="0"/>
    <x v="8"/>
    <x v="0"/>
    <d v="2025-09-18T00:00:00"/>
    <x v="2"/>
    <d v="2025-09-23T00:00:00"/>
    <n v="5"/>
    <n v="29255"/>
  </r>
  <r>
    <s v="P0503"/>
    <s v="Rohit Singh"/>
    <n v="27"/>
    <x v="1"/>
    <x v="7"/>
    <x v="0"/>
    <d v="2025-09-05T00:00:00"/>
    <x v="2"/>
    <d v="2025-09-15T00:00:00"/>
    <n v="10"/>
    <n v="81910"/>
  </r>
  <r>
    <s v="P0504"/>
    <s v="Kiran Gupta"/>
    <n v="36"/>
    <x v="1"/>
    <x v="6"/>
    <x v="6"/>
    <d v="2025-09-14T00:00:00"/>
    <x v="2"/>
    <d v="2025-09-27T00:00:00"/>
    <n v="13"/>
    <n v="84539"/>
  </r>
  <r>
    <s v="P0505"/>
    <s v="Priya Sharma"/>
    <n v="42"/>
    <x v="0"/>
    <x v="4"/>
    <x v="1"/>
    <d v="2025-10-27T00:00:00"/>
    <x v="11"/>
    <d v="2025-11-04T00:00:00"/>
    <n v="8"/>
    <n v="66864"/>
  </r>
  <r>
    <s v="P0506"/>
    <s v="Anita Sharma"/>
    <n v="16"/>
    <x v="1"/>
    <x v="3"/>
    <x v="4"/>
    <d v="2025-07-08T00:00:00"/>
    <x v="10"/>
    <d v="2025-07-16T00:00:00"/>
    <n v="8"/>
    <n v="56328"/>
  </r>
  <r>
    <s v="P0507"/>
    <s v="Kiran Gupta"/>
    <n v="41"/>
    <x v="1"/>
    <x v="0"/>
    <x v="4"/>
    <d v="2025-12-27T00:00:00"/>
    <x v="0"/>
    <d v="2025-12-28T00:00:00"/>
    <n v="1"/>
    <n v="11144"/>
  </r>
  <r>
    <s v="P0508"/>
    <s v="Rohit Ali"/>
    <n v="90"/>
    <x v="0"/>
    <x v="2"/>
    <x v="4"/>
    <d v="2025-10-24T00:00:00"/>
    <x v="11"/>
    <d v="2025-10-29T00:00:00"/>
    <n v="5"/>
    <n v="47025"/>
  </r>
  <r>
    <s v="P0509"/>
    <s v="Adil Khan"/>
    <n v="68"/>
    <x v="0"/>
    <x v="4"/>
    <x v="5"/>
    <d v="2025-03-14T00:00:00"/>
    <x v="4"/>
    <d v="2025-03-19T00:00:00"/>
    <n v="5"/>
    <n v="46510"/>
  </r>
  <r>
    <s v="P0510"/>
    <s v="Pooja Ali"/>
    <n v="78"/>
    <x v="1"/>
    <x v="0"/>
    <x v="3"/>
    <d v="2025-03-23T00:00:00"/>
    <x v="4"/>
    <d v="2025-04-01T00:00:00"/>
    <n v="9"/>
    <n v="64926"/>
  </r>
  <r>
    <s v="P0511"/>
    <s v="Mehak Sharma"/>
    <n v="62"/>
    <x v="1"/>
    <x v="4"/>
    <x v="6"/>
    <d v="2025-12-11T00:00:00"/>
    <x v="0"/>
    <d v="2025-12-21T00:00:00"/>
    <n v="10"/>
    <n v="49270"/>
  </r>
  <r>
    <s v="P0512"/>
    <s v="Imran Ali"/>
    <n v="88"/>
    <x v="1"/>
    <x v="4"/>
    <x v="6"/>
    <d v="2025-06-01T00:00:00"/>
    <x v="7"/>
    <d v="2025-06-16T00:00:00"/>
    <n v="15"/>
    <n v="79035"/>
  </r>
  <r>
    <s v="P0513"/>
    <s v="Imran Rather"/>
    <n v="41"/>
    <x v="0"/>
    <x v="0"/>
    <x v="6"/>
    <d v="2025-02-15T00:00:00"/>
    <x v="3"/>
    <d v="2025-02-27T00:00:00"/>
    <n v="12"/>
    <n v="99444"/>
  </r>
  <r>
    <s v="P0514"/>
    <s v="Vikas Ali"/>
    <n v="90"/>
    <x v="0"/>
    <x v="9"/>
    <x v="7"/>
    <d v="2025-09-29T00:00:00"/>
    <x v="2"/>
    <d v="2025-10-04T00:00:00"/>
    <n v="5"/>
    <n v="56180"/>
  </r>
  <r>
    <s v="P0515"/>
    <s v="Rohit Ali"/>
    <n v="26"/>
    <x v="1"/>
    <x v="7"/>
    <x v="0"/>
    <d v="2025-11-10T00:00:00"/>
    <x v="9"/>
    <d v="2025-11-22T00:00:00"/>
    <n v="12"/>
    <n v="119316"/>
  </r>
  <r>
    <s v="P0516"/>
    <s v="Neha Rather"/>
    <n v="44"/>
    <x v="0"/>
    <x v="8"/>
    <x v="3"/>
    <d v="2025-01-18T00:00:00"/>
    <x v="1"/>
    <d v="2025-01-26T00:00:00"/>
    <n v="8"/>
    <n v="69368"/>
  </r>
  <r>
    <s v="P0517"/>
    <s v="Adil Kapoor"/>
    <n v="36"/>
    <x v="1"/>
    <x v="9"/>
    <x v="5"/>
    <d v="2025-09-21T00:00:00"/>
    <x v="2"/>
    <d v="2025-09-27T00:00:00"/>
    <n v="6"/>
    <n v="50142"/>
  </r>
  <r>
    <s v="P0518"/>
    <s v="Imran Kumar"/>
    <n v="57"/>
    <x v="0"/>
    <x v="0"/>
    <x v="4"/>
    <d v="2025-07-18T00:00:00"/>
    <x v="10"/>
    <d v="2025-07-19T00:00:00"/>
    <n v="1"/>
    <n v="4497"/>
  </r>
  <r>
    <s v="P0519"/>
    <s v="Anita Gupta"/>
    <n v="43"/>
    <x v="0"/>
    <x v="9"/>
    <x v="3"/>
    <d v="2025-11-26T00:00:00"/>
    <x v="9"/>
    <d v="2025-12-11T00:00:00"/>
    <n v="15"/>
    <n v="115590"/>
  </r>
  <r>
    <s v="P0520"/>
    <s v="Rohit Ali"/>
    <n v="61"/>
    <x v="1"/>
    <x v="1"/>
    <x v="6"/>
    <d v="2025-12-24T00:00:00"/>
    <x v="0"/>
    <d v="2026-01-04T00:00:00"/>
    <n v="11"/>
    <n v="90563"/>
  </r>
  <r>
    <s v="P0521"/>
    <s v="Arjun Ali"/>
    <n v="66"/>
    <x v="1"/>
    <x v="1"/>
    <x v="4"/>
    <d v="2025-01-21T00:00:00"/>
    <x v="1"/>
    <d v="2025-01-28T00:00:00"/>
    <n v="7"/>
    <n v="38276"/>
  </r>
  <r>
    <s v="P0522"/>
    <s v="Rohit Khan"/>
    <n v="41"/>
    <x v="0"/>
    <x v="7"/>
    <x v="3"/>
    <d v="2025-01-29T00:00:00"/>
    <x v="1"/>
    <d v="2025-01-31T00:00:00"/>
    <n v="2"/>
    <n v="18364"/>
  </r>
  <r>
    <s v="P0523"/>
    <s v="Rohit Kapoor"/>
    <n v="40"/>
    <x v="0"/>
    <x v="7"/>
    <x v="5"/>
    <d v="2025-06-29T00:00:00"/>
    <x v="7"/>
    <d v="2025-07-12T00:00:00"/>
    <n v="13"/>
    <n v="153179"/>
  </r>
  <r>
    <s v="P0524"/>
    <s v="Imran Rather"/>
    <n v="35"/>
    <x v="0"/>
    <x v="4"/>
    <x v="6"/>
    <d v="2025-11-22T00:00:00"/>
    <x v="9"/>
    <d v="2025-12-01T00:00:00"/>
    <n v="9"/>
    <n v="83340"/>
  </r>
  <r>
    <s v="P0525"/>
    <s v="Arjun Malik"/>
    <n v="49"/>
    <x v="0"/>
    <x v="8"/>
    <x v="0"/>
    <d v="2025-02-27T00:00:00"/>
    <x v="3"/>
    <d v="2025-03-05T00:00:00"/>
    <n v="6"/>
    <n v="57120"/>
  </r>
  <r>
    <s v="P0526"/>
    <s v="Aman Singh"/>
    <n v="43"/>
    <x v="0"/>
    <x v="6"/>
    <x v="1"/>
    <d v="2025-02-17T00:00:00"/>
    <x v="3"/>
    <d v="2025-02-26T00:00:00"/>
    <n v="9"/>
    <n v="78777"/>
  </r>
  <r>
    <s v="P0527"/>
    <s v="Vikas Gupta"/>
    <n v="64"/>
    <x v="1"/>
    <x v="8"/>
    <x v="7"/>
    <d v="2025-07-21T00:00:00"/>
    <x v="10"/>
    <d v="2025-07-23T00:00:00"/>
    <n v="2"/>
    <n v="10104"/>
  </r>
  <r>
    <s v="P0528"/>
    <s v="Neha Sharma"/>
    <n v="72"/>
    <x v="0"/>
    <x v="0"/>
    <x v="2"/>
    <d v="2025-01-11T00:00:00"/>
    <x v="1"/>
    <d v="2025-01-25T00:00:00"/>
    <n v="14"/>
    <n v="158186"/>
  </r>
  <r>
    <s v="P0529"/>
    <s v="Priya Verma"/>
    <n v="21"/>
    <x v="0"/>
    <x v="5"/>
    <x v="7"/>
    <d v="2025-06-10T00:00:00"/>
    <x v="7"/>
    <d v="2025-06-19T00:00:00"/>
    <n v="9"/>
    <n v="78210"/>
  </r>
  <r>
    <s v="P0530"/>
    <s v="Priya Sharma"/>
    <n v="45"/>
    <x v="0"/>
    <x v="9"/>
    <x v="1"/>
    <d v="2025-03-28T00:00:00"/>
    <x v="4"/>
    <d v="2025-04-07T00:00:00"/>
    <n v="10"/>
    <n v="96320"/>
  </r>
  <r>
    <s v="P0531"/>
    <s v="Anita Verma"/>
    <n v="87"/>
    <x v="0"/>
    <x v="2"/>
    <x v="4"/>
    <d v="2025-06-22T00:00:00"/>
    <x v="7"/>
    <d v="2025-07-03T00:00:00"/>
    <n v="11"/>
    <n v="52228"/>
  </r>
  <r>
    <s v="P0532"/>
    <s v="Priya Gupta"/>
    <n v="12"/>
    <x v="1"/>
    <x v="7"/>
    <x v="5"/>
    <d v="2025-08-29T00:00:00"/>
    <x v="8"/>
    <d v="2025-09-05T00:00:00"/>
    <n v="7"/>
    <n v="70182"/>
  </r>
  <r>
    <s v="P0533"/>
    <s v="Arjun Ali"/>
    <n v="73"/>
    <x v="1"/>
    <x v="8"/>
    <x v="0"/>
    <d v="2025-05-10T00:00:00"/>
    <x v="6"/>
    <d v="2025-05-18T00:00:00"/>
    <n v="8"/>
    <n v="70208"/>
  </r>
  <r>
    <s v="P0534"/>
    <s v="Priya Malik"/>
    <n v="35"/>
    <x v="1"/>
    <x v="8"/>
    <x v="0"/>
    <d v="2025-09-06T00:00:00"/>
    <x v="2"/>
    <d v="2025-09-13T00:00:00"/>
    <n v="7"/>
    <n v="45549"/>
  </r>
  <r>
    <s v="P0535"/>
    <s v="Vikas Rather"/>
    <n v="30"/>
    <x v="0"/>
    <x v="1"/>
    <x v="5"/>
    <d v="2025-01-24T00:00:00"/>
    <x v="1"/>
    <d v="2025-02-04T00:00:00"/>
    <n v="11"/>
    <n v="122815"/>
  </r>
  <r>
    <s v="P0536"/>
    <s v="Arjun Verma"/>
    <n v="78"/>
    <x v="1"/>
    <x v="3"/>
    <x v="3"/>
    <d v="2025-05-25T00:00:00"/>
    <x v="6"/>
    <d v="2025-06-01T00:00:00"/>
    <n v="7"/>
    <n v="67228"/>
  </r>
  <r>
    <s v="P0537"/>
    <s v="Neha Verma"/>
    <n v="87"/>
    <x v="1"/>
    <x v="5"/>
    <x v="1"/>
    <d v="2025-01-31T00:00:00"/>
    <x v="1"/>
    <d v="2025-02-13T00:00:00"/>
    <n v="13"/>
    <n v="127686"/>
  </r>
  <r>
    <s v="P0538"/>
    <s v="Zara Malik"/>
    <n v="47"/>
    <x v="0"/>
    <x v="4"/>
    <x v="0"/>
    <d v="2025-01-29T00:00:00"/>
    <x v="1"/>
    <d v="2025-02-07T00:00:00"/>
    <n v="9"/>
    <n v="69417"/>
  </r>
  <r>
    <s v="P0539"/>
    <s v="Adil Gupta"/>
    <n v="51"/>
    <x v="0"/>
    <x v="9"/>
    <x v="3"/>
    <d v="2025-12-22T00:00:00"/>
    <x v="0"/>
    <d v="2025-12-29T00:00:00"/>
    <n v="7"/>
    <n v="42833"/>
  </r>
  <r>
    <s v="P0540"/>
    <s v="Adil Kumar"/>
    <n v="45"/>
    <x v="1"/>
    <x v="1"/>
    <x v="2"/>
    <d v="2025-04-09T00:00:00"/>
    <x v="5"/>
    <d v="2025-04-13T00:00:00"/>
    <n v="4"/>
    <n v="33140"/>
  </r>
  <r>
    <s v="P0541"/>
    <s v="Rohit Sharma"/>
    <n v="90"/>
    <x v="1"/>
    <x v="3"/>
    <x v="1"/>
    <d v="2025-02-16T00:00:00"/>
    <x v="3"/>
    <d v="2025-02-25T00:00:00"/>
    <n v="9"/>
    <n v="83871"/>
  </r>
  <r>
    <s v="P0542"/>
    <s v="Mehak Singh"/>
    <n v="65"/>
    <x v="0"/>
    <x v="5"/>
    <x v="1"/>
    <d v="2025-07-18T00:00:00"/>
    <x v="10"/>
    <d v="2025-07-28T00:00:00"/>
    <n v="10"/>
    <n v="76440"/>
  </r>
  <r>
    <s v="P0543"/>
    <s v="Sara Gupta"/>
    <n v="18"/>
    <x v="0"/>
    <x v="4"/>
    <x v="3"/>
    <d v="2025-11-26T00:00:00"/>
    <x v="9"/>
    <d v="2025-11-27T00:00:00"/>
    <n v="1"/>
    <n v="9170"/>
  </r>
  <r>
    <s v="P0544"/>
    <s v="Imran Rather"/>
    <n v="33"/>
    <x v="1"/>
    <x v="2"/>
    <x v="1"/>
    <d v="2025-02-15T00:00:00"/>
    <x v="3"/>
    <d v="2025-02-18T00:00:00"/>
    <n v="3"/>
    <n v="33321"/>
  </r>
  <r>
    <s v="P0545"/>
    <s v="Arjun Malik"/>
    <n v="76"/>
    <x v="0"/>
    <x v="9"/>
    <x v="3"/>
    <d v="2025-04-04T00:00:00"/>
    <x v="5"/>
    <d v="2025-04-11T00:00:00"/>
    <n v="7"/>
    <n v="51142"/>
  </r>
  <r>
    <s v="P0546"/>
    <s v="Adil Khan"/>
    <n v="3"/>
    <x v="0"/>
    <x v="6"/>
    <x v="7"/>
    <d v="2025-12-15T00:00:00"/>
    <x v="0"/>
    <d v="2025-12-17T00:00:00"/>
    <n v="2"/>
    <n v="18772"/>
  </r>
  <r>
    <s v="P0547"/>
    <s v="Pooja Ali"/>
    <n v="18"/>
    <x v="0"/>
    <x v="8"/>
    <x v="1"/>
    <d v="2025-05-27T00:00:00"/>
    <x v="6"/>
    <d v="2025-06-06T00:00:00"/>
    <n v="10"/>
    <n v="97130"/>
  </r>
  <r>
    <s v="P0548"/>
    <s v="Anita Kumar"/>
    <n v="72"/>
    <x v="1"/>
    <x v="4"/>
    <x v="2"/>
    <d v="2025-05-16T00:00:00"/>
    <x v="6"/>
    <d v="2025-05-20T00:00:00"/>
    <n v="4"/>
    <n v="29464"/>
  </r>
  <r>
    <s v="P0549"/>
    <s v="Rahul Gupta"/>
    <n v="26"/>
    <x v="0"/>
    <x v="7"/>
    <x v="7"/>
    <d v="2025-01-27T00:00:00"/>
    <x v="1"/>
    <d v="2025-02-01T00:00:00"/>
    <n v="5"/>
    <n v="41480"/>
  </r>
  <r>
    <s v="P0550"/>
    <s v="Adil Kapoor"/>
    <n v="82"/>
    <x v="1"/>
    <x v="3"/>
    <x v="2"/>
    <d v="2025-05-29T00:00:00"/>
    <x v="6"/>
    <d v="2025-06-03T00:00:00"/>
    <n v="5"/>
    <n v="38205"/>
  </r>
  <r>
    <s v="P0551"/>
    <s v="Aman Singh"/>
    <n v="18"/>
    <x v="1"/>
    <x v="0"/>
    <x v="1"/>
    <d v="2025-04-09T00:00:00"/>
    <x v="5"/>
    <d v="2025-04-15T00:00:00"/>
    <n v="6"/>
    <n v="69876"/>
  </r>
  <r>
    <s v="P0552"/>
    <s v="Priya Singh"/>
    <n v="1"/>
    <x v="0"/>
    <x v="6"/>
    <x v="7"/>
    <d v="2025-04-15T00:00:00"/>
    <x v="5"/>
    <d v="2025-04-27T00:00:00"/>
    <n v="12"/>
    <n v="128760"/>
  </r>
  <r>
    <s v="P0553"/>
    <s v="Kiran Singh"/>
    <n v="74"/>
    <x v="0"/>
    <x v="6"/>
    <x v="3"/>
    <d v="2025-04-07T00:00:00"/>
    <x v="5"/>
    <d v="2025-04-20T00:00:00"/>
    <n v="13"/>
    <n v="63960"/>
  </r>
  <r>
    <s v="P0554"/>
    <s v="Kiran Kapoor"/>
    <n v="8"/>
    <x v="0"/>
    <x v="9"/>
    <x v="2"/>
    <d v="2025-02-05T00:00:00"/>
    <x v="3"/>
    <d v="2025-02-14T00:00:00"/>
    <n v="9"/>
    <n v="94833"/>
  </r>
  <r>
    <s v="P0555"/>
    <s v="Rohit Kumar"/>
    <n v="71"/>
    <x v="1"/>
    <x v="7"/>
    <x v="6"/>
    <d v="2025-05-02T00:00:00"/>
    <x v="6"/>
    <d v="2025-05-08T00:00:00"/>
    <n v="6"/>
    <n v="35988"/>
  </r>
  <r>
    <s v="P0556"/>
    <s v="Pooja Singh"/>
    <n v="6"/>
    <x v="1"/>
    <x v="7"/>
    <x v="7"/>
    <d v="2025-01-27T00:00:00"/>
    <x v="1"/>
    <d v="2025-01-28T00:00:00"/>
    <n v="1"/>
    <n v="11603"/>
  </r>
  <r>
    <s v="P0557"/>
    <s v="Kiran Ali"/>
    <n v="7"/>
    <x v="1"/>
    <x v="0"/>
    <x v="7"/>
    <d v="2025-09-23T00:00:00"/>
    <x v="2"/>
    <d v="2025-10-05T00:00:00"/>
    <n v="12"/>
    <n v="56556"/>
  </r>
  <r>
    <s v="P0558"/>
    <s v="Rahul Ali"/>
    <n v="69"/>
    <x v="0"/>
    <x v="4"/>
    <x v="6"/>
    <d v="2025-01-05T00:00:00"/>
    <x v="1"/>
    <d v="2025-01-15T00:00:00"/>
    <n v="10"/>
    <n v="107890"/>
  </r>
  <r>
    <s v="P0559"/>
    <s v="Kiran Kumar"/>
    <n v="80"/>
    <x v="1"/>
    <x v="3"/>
    <x v="5"/>
    <d v="2025-10-18T00:00:00"/>
    <x v="11"/>
    <d v="2025-11-01T00:00:00"/>
    <n v="14"/>
    <n v="70420"/>
  </r>
  <r>
    <s v="P0560"/>
    <s v="Imran Verma"/>
    <n v="25"/>
    <x v="0"/>
    <x v="0"/>
    <x v="1"/>
    <d v="2025-05-23T00:00:00"/>
    <x v="6"/>
    <d v="2025-05-25T00:00:00"/>
    <n v="2"/>
    <n v="19402"/>
  </r>
  <r>
    <s v="P0561"/>
    <s v="Kiran Khan"/>
    <n v="48"/>
    <x v="1"/>
    <x v="3"/>
    <x v="4"/>
    <d v="2025-07-19T00:00:00"/>
    <x v="10"/>
    <d v="2025-07-24T00:00:00"/>
    <n v="5"/>
    <n v="33420"/>
  </r>
  <r>
    <s v="P0562"/>
    <s v="Kiran Malik"/>
    <n v="38"/>
    <x v="0"/>
    <x v="0"/>
    <x v="6"/>
    <d v="2025-07-23T00:00:00"/>
    <x v="10"/>
    <d v="2025-08-01T00:00:00"/>
    <n v="9"/>
    <n v="77445"/>
  </r>
  <r>
    <s v="P0563"/>
    <s v="Imran Verma"/>
    <n v="18"/>
    <x v="0"/>
    <x v="8"/>
    <x v="7"/>
    <d v="2025-07-26T00:00:00"/>
    <x v="10"/>
    <d v="2025-08-01T00:00:00"/>
    <n v="6"/>
    <n v="26058"/>
  </r>
  <r>
    <s v="P0564"/>
    <s v="Neha Sharma"/>
    <n v="87"/>
    <x v="0"/>
    <x v="3"/>
    <x v="4"/>
    <d v="2025-03-14T00:00:00"/>
    <x v="4"/>
    <d v="2025-03-20T00:00:00"/>
    <n v="6"/>
    <n v="50238"/>
  </r>
  <r>
    <s v="P0565"/>
    <s v="Rahul Singh"/>
    <n v="75"/>
    <x v="1"/>
    <x v="6"/>
    <x v="4"/>
    <d v="2025-03-07T00:00:00"/>
    <x v="4"/>
    <d v="2025-03-18T00:00:00"/>
    <n v="11"/>
    <n v="68046"/>
  </r>
  <r>
    <s v="P0566"/>
    <s v="Sara Gupta"/>
    <n v="82"/>
    <x v="0"/>
    <x v="3"/>
    <x v="1"/>
    <d v="2025-12-29T00:00:00"/>
    <x v="0"/>
    <d v="2026-01-02T00:00:00"/>
    <n v="4"/>
    <n v="35052"/>
  </r>
  <r>
    <s v="P0567"/>
    <s v="Sara Sharma"/>
    <n v="29"/>
    <x v="1"/>
    <x v="6"/>
    <x v="3"/>
    <d v="2025-08-16T00:00:00"/>
    <x v="8"/>
    <d v="2025-08-27T00:00:00"/>
    <n v="11"/>
    <n v="104500"/>
  </r>
  <r>
    <s v="P0568"/>
    <s v="Neha Malik"/>
    <n v="27"/>
    <x v="0"/>
    <x v="6"/>
    <x v="2"/>
    <d v="2025-09-20T00:00:00"/>
    <x v="2"/>
    <d v="2025-10-03T00:00:00"/>
    <n v="13"/>
    <n v="69940"/>
  </r>
  <r>
    <s v="P0569"/>
    <s v="Rahul Khan"/>
    <n v="57"/>
    <x v="1"/>
    <x v="6"/>
    <x v="2"/>
    <d v="2025-05-28T00:00:00"/>
    <x v="6"/>
    <d v="2025-06-04T00:00:00"/>
    <n v="7"/>
    <n v="53011"/>
  </r>
  <r>
    <s v="P0570"/>
    <s v="Vikas Kapoor"/>
    <n v="64"/>
    <x v="1"/>
    <x v="6"/>
    <x v="2"/>
    <d v="2025-07-16T00:00:00"/>
    <x v="10"/>
    <d v="2025-07-19T00:00:00"/>
    <n v="3"/>
    <n v="32493"/>
  </r>
  <r>
    <s v="P0571"/>
    <s v="Imran Verma"/>
    <n v="63"/>
    <x v="0"/>
    <x v="5"/>
    <x v="3"/>
    <d v="2025-05-23T00:00:00"/>
    <x v="6"/>
    <d v="2025-05-25T00:00:00"/>
    <n v="2"/>
    <n v="23140"/>
  </r>
  <r>
    <s v="P0572"/>
    <s v="Rohit Sharma"/>
    <n v="27"/>
    <x v="0"/>
    <x v="0"/>
    <x v="2"/>
    <d v="2025-06-30T00:00:00"/>
    <x v="7"/>
    <d v="2025-07-14T00:00:00"/>
    <n v="14"/>
    <n v="105392"/>
  </r>
  <r>
    <s v="P0573"/>
    <s v="Pooja Malik"/>
    <n v="19"/>
    <x v="0"/>
    <x v="4"/>
    <x v="3"/>
    <d v="2025-11-14T00:00:00"/>
    <x v="9"/>
    <d v="2025-11-15T00:00:00"/>
    <n v="1"/>
    <n v="8623"/>
  </r>
  <r>
    <s v="P0574"/>
    <s v="Aman Verma"/>
    <n v="13"/>
    <x v="1"/>
    <x v="4"/>
    <x v="0"/>
    <d v="2025-11-11T00:00:00"/>
    <x v="9"/>
    <d v="2025-11-19T00:00:00"/>
    <n v="8"/>
    <n v="43256"/>
  </r>
  <r>
    <s v="P0575"/>
    <s v="Zara Khan"/>
    <n v="23"/>
    <x v="1"/>
    <x v="6"/>
    <x v="2"/>
    <d v="2025-04-08T00:00:00"/>
    <x v="5"/>
    <d v="2025-04-20T00:00:00"/>
    <n v="12"/>
    <n v="68928"/>
  </r>
  <r>
    <s v="P0576"/>
    <s v="Adil Singh"/>
    <n v="43"/>
    <x v="1"/>
    <x v="0"/>
    <x v="0"/>
    <d v="2025-03-05T00:00:00"/>
    <x v="4"/>
    <d v="2025-03-13T00:00:00"/>
    <n v="8"/>
    <n v="94072"/>
  </r>
  <r>
    <s v="P0577"/>
    <s v="Adil Khan"/>
    <n v="65"/>
    <x v="1"/>
    <x v="2"/>
    <x v="5"/>
    <d v="2025-12-21T00:00:00"/>
    <x v="0"/>
    <d v="2025-12-28T00:00:00"/>
    <n v="7"/>
    <n v="68271"/>
  </r>
  <r>
    <s v="P0578"/>
    <s v="Neha Singh"/>
    <n v="82"/>
    <x v="0"/>
    <x v="6"/>
    <x v="3"/>
    <d v="2025-11-21T00:00:00"/>
    <x v="9"/>
    <d v="2025-12-02T00:00:00"/>
    <n v="11"/>
    <n v="103917"/>
  </r>
  <r>
    <s v="P0579"/>
    <s v="Imran Singh"/>
    <n v="8"/>
    <x v="0"/>
    <x v="4"/>
    <x v="1"/>
    <d v="2025-06-18T00:00:00"/>
    <x v="7"/>
    <d v="2025-07-01T00:00:00"/>
    <n v="13"/>
    <n v="87295"/>
  </r>
  <r>
    <s v="P0580"/>
    <s v="Pooja Khan"/>
    <n v="65"/>
    <x v="0"/>
    <x v="9"/>
    <x v="3"/>
    <d v="2025-08-02T00:00:00"/>
    <x v="8"/>
    <d v="2025-08-12T00:00:00"/>
    <n v="10"/>
    <n v="56800"/>
  </r>
  <r>
    <s v="P0581"/>
    <s v="Rohit Kumar"/>
    <n v="58"/>
    <x v="0"/>
    <x v="7"/>
    <x v="5"/>
    <d v="2025-06-18T00:00:00"/>
    <x v="7"/>
    <d v="2025-07-03T00:00:00"/>
    <n v="15"/>
    <n v="86625"/>
  </r>
  <r>
    <s v="P0582"/>
    <s v="Neha Verma"/>
    <n v="65"/>
    <x v="1"/>
    <x v="3"/>
    <x v="2"/>
    <d v="2025-02-25T00:00:00"/>
    <x v="3"/>
    <d v="2025-03-05T00:00:00"/>
    <n v="8"/>
    <n v="93264"/>
  </r>
  <r>
    <s v="P0583"/>
    <s v="Neha Khan"/>
    <n v="70"/>
    <x v="0"/>
    <x v="6"/>
    <x v="1"/>
    <d v="2025-06-10T00:00:00"/>
    <x v="7"/>
    <d v="2025-06-19T00:00:00"/>
    <n v="9"/>
    <n v="44496"/>
  </r>
  <r>
    <s v="P0584"/>
    <s v="Zara Singh"/>
    <n v="70"/>
    <x v="0"/>
    <x v="4"/>
    <x v="4"/>
    <d v="2025-04-05T00:00:00"/>
    <x v="5"/>
    <d v="2025-04-16T00:00:00"/>
    <n v="11"/>
    <n v="46156"/>
  </r>
  <r>
    <s v="P0585"/>
    <s v="Priya Kumar"/>
    <n v="28"/>
    <x v="1"/>
    <x v="7"/>
    <x v="4"/>
    <d v="2025-10-25T00:00:00"/>
    <x v="11"/>
    <d v="2025-10-28T00:00:00"/>
    <n v="3"/>
    <n v="31863"/>
  </r>
  <r>
    <s v="P0586"/>
    <s v="Neha Ali"/>
    <n v="89"/>
    <x v="0"/>
    <x v="1"/>
    <x v="7"/>
    <d v="2025-09-28T00:00:00"/>
    <x v="2"/>
    <d v="2025-10-07T00:00:00"/>
    <n v="9"/>
    <n v="85428"/>
  </r>
  <r>
    <s v="P0587"/>
    <s v="Priya Singh"/>
    <n v="46"/>
    <x v="0"/>
    <x v="5"/>
    <x v="0"/>
    <d v="2025-10-08T00:00:00"/>
    <x v="11"/>
    <d v="2025-10-19T00:00:00"/>
    <n v="11"/>
    <n v="106447"/>
  </r>
  <r>
    <s v="P0588"/>
    <s v="Arjun Rather"/>
    <n v="84"/>
    <x v="0"/>
    <x v="9"/>
    <x v="1"/>
    <d v="2025-12-01T00:00:00"/>
    <x v="0"/>
    <d v="2025-12-03T00:00:00"/>
    <n v="2"/>
    <n v="22990"/>
  </r>
  <r>
    <s v="P0589"/>
    <s v="Aman Rather"/>
    <n v="83"/>
    <x v="1"/>
    <x v="2"/>
    <x v="5"/>
    <d v="2025-09-06T00:00:00"/>
    <x v="2"/>
    <d v="2025-09-16T00:00:00"/>
    <n v="10"/>
    <n v="117330"/>
  </r>
  <r>
    <s v="P0590"/>
    <s v="Adil Sharma"/>
    <n v="20"/>
    <x v="1"/>
    <x v="2"/>
    <x v="6"/>
    <d v="2025-12-01T00:00:00"/>
    <x v="0"/>
    <d v="2025-12-14T00:00:00"/>
    <n v="13"/>
    <n v="148655"/>
  </r>
  <r>
    <s v="P0591"/>
    <s v="Priya Kapoor"/>
    <n v="69"/>
    <x v="1"/>
    <x v="0"/>
    <x v="4"/>
    <d v="2025-04-30T00:00:00"/>
    <x v="5"/>
    <d v="2025-05-03T00:00:00"/>
    <n v="3"/>
    <n v="26247"/>
  </r>
  <r>
    <s v="P0592"/>
    <s v="Neha Gupta"/>
    <n v="86"/>
    <x v="1"/>
    <x v="3"/>
    <x v="4"/>
    <d v="2025-07-05T00:00:00"/>
    <x v="10"/>
    <d v="2025-07-15T00:00:00"/>
    <n v="10"/>
    <n v="50100"/>
  </r>
  <r>
    <s v="P0593"/>
    <s v="Aman Ali"/>
    <n v="84"/>
    <x v="0"/>
    <x v="3"/>
    <x v="0"/>
    <d v="2025-09-26T00:00:00"/>
    <x v="2"/>
    <d v="2025-10-06T00:00:00"/>
    <n v="10"/>
    <n v="66970"/>
  </r>
  <r>
    <s v="P0594"/>
    <s v="Pooja Kumar"/>
    <n v="84"/>
    <x v="0"/>
    <x v="0"/>
    <x v="2"/>
    <d v="2025-06-04T00:00:00"/>
    <x v="7"/>
    <d v="2025-06-08T00:00:00"/>
    <n v="4"/>
    <n v="43984"/>
  </r>
  <r>
    <s v="P0595"/>
    <s v="Priya Verma"/>
    <n v="26"/>
    <x v="1"/>
    <x v="8"/>
    <x v="0"/>
    <d v="2025-04-25T00:00:00"/>
    <x v="5"/>
    <d v="2025-05-04T00:00:00"/>
    <n v="9"/>
    <n v="80982"/>
  </r>
  <r>
    <s v="P0596"/>
    <s v="Anita Gupta"/>
    <n v="70"/>
    <x v="1"/>
    <x v="3"/>
    <x v="1"/>
    <d v="2025-09-19T00:00:00"/>
    <x v="2"/>
    <d v="2025-09-29T00:00:00"/>
    <n v="10"/>
    <n v="89190"/>
  </r>
  <r>
    <s v="P0597"/>
    <s v="Sara Sharma"/>
    <n v="36"/>
    <x v="0"/>
    <x v="0"/>
    <x v="6"/>
    <d v="2025-08-16T00:00:00"/>
    <x v="8"/>
    <d v="2025-08-29T00:00:00"/>
    <n v="13"/>
    <n v="133419"/>
  </r>
  <r>
    <s v="P0598"/>
    <s v="Imran Kumar"/>
    <n v="69"/>
    <x v="0"/>
    <x v="0"/>
    <x v="0"/>
    <d v="2025-06-13T00:00:00"/>
    <x v="7"/>
    <d v="2025-06-15T00:00:00"/>
    <n v="2"/>
    <n v="13730"/>
  </r>
  <r>
    <s v="P0599"/>
    <s v="Anita Singh"/>
    <n v="15"/>
    <x v="1"/>
    <x v="3"/>
    <x v="6"/>
    <d v="2025-11-11T00:00:00"/>
    <x v="9"/>
    <d v="2025-11-26T00:00:00"/>
    <n v="15"/>
    <n v="93120"/>
  </r>
  <r>
    <s v="P0600"/>
    <s v="Priya Ali"/>
    <n v="11"/>
    <x v="1"/>
    <x v="0"/>
    <x v="6"/>
    <d v="2025-03-12T00:00:00"/>
    <x v="4"/>
    <d v="2025-03-19T00:00:00"/>
    <n v="7"/>
    <n v="33054"/>
  </r>
  <r>
    <s v="P0601"/>
    <s v="Adil Ali"/>
    <n v="10"/>
    <x v="0"/>
    <x v="0"/>
    <x v="2"/>
    <d v="2025-12-18T00:00:00"/>
    <x v="0"/>
    <d v="2025-12-26T00:00:00"/>
    <n v="8"/>
    <n v="92288"/>
  </r>
  <r>
    <s v="P0602"/>
    <s v="Arjun Rather"/>
    <n v="65"/>
    <x v="1"/>
    <x v="7"/>
    <x v="3"/>
    <d v="2025-10-04T00:00:00"/>
    <x v="11"/>
    <d v="2025-10-06T00:00:00"/>
    <n v="2"/>
    <n v="11510"/>
  </r>
  <r>
    <s v="P0603"/>
    <s v="Vikas Sharma"/>
    <n v="59"/>
    <x v="0"/>
    <x v="9"/>
    <x v="4"/>
    <d v="2025-03-10T00:00:00"/>
    <x v="4"/>
    <d v="2025-03-23T00:00:00"/>
    <n v="13"/>
    <n v="144092"/>
  </r>
  <r>
    <s v="P0604"/>
    <s v="Zara Malik"/>
    <n v="47"/>
    <x v="0"/>
    <x v="2"/>
    <x v="3"/>
    <d v="2025-09-28T00:00:00"/>
    <x v="2"/>
    <d v="2025-10-03T00:00:00"/>
    <n v="5"/>
    <n v="58525"/>
  </r>
  <r>
    <s v="P0605"/>
    <s v="Aman Ali"/>
    <n v="86"/>
    <x v="0"/>
    <x v="5"/>
    <x v="4"/>
    <d v="2025-04-09T00:00:00"/>
    <x v="5"/>
    <d v="2025-04-24T00:00:00"/>
    <n v="15"/>
    <n v="156840"/>
  </r>
  <r>
    <s v="P0606"/>
    <s v="Kiran Malik"/>
    <n v="18"/>
    <x v="1"/>
    <x v="6"/>
    <x v="4"/>
    <d v="2025-06-07T00:00:00"/>
    <x v="7"/>
    <d v="2025-06-08T00:00:00"/>
    <n v="1"/>
    <n v="10018"/>
  </r>
  <r>
    <s v="P0607"/>
    <s v="Neha Gupta"/>
    <n v="9"/>
    <x v="1"/>
    <x v="2"/>
    <x v="6"/>
    <d v="2025-02-06T00:00:00"/>
    <x v="3"/>
    <d v="2025-02-11T00:00:00"/>
    <n v="5"/>
    <n v="30815"/>
  </r>
  <r>
    <s v="P0608"/>
    <s v="Adil Sharma"/>
    <n v="90"/>
    <x v="0"/>
    <x v="3"/>
    <x v="0"/>
    <d v="2025-04-14T00:00:00"/>
    <x v="5"/>
    <d v="2025-04-22T00:00:00"/>
    <n v="8"/>
    <n v="45216"/>
  </r>
  <r>
    <s v="P0609"/>
    <s v="Imran Ali"/>
    <n v="20"/>
    <x v="0"/>
    <x v="4"/>
    <x v="1"/>
    <d v="2025-02-10T00:00:00"/>
    <x v="3"/>
    <d v="2025-02-16T00:00:00"/>
    <n v="6"/>
    <n v="38520"/>
  </r>
  <r>
    <s v="P0610"/>
    <s v="Vikas Khan"/>
    <n v="30"/>
    <x v="1"/>
    <x v="2"/>
    <x v="6"/>
    <d v="2025-01-23T00:00:00"/>
    <x v="1"/>
    <d v="2025-02-07T00:00:00"/>
    <n v="15"/>
    <n v="85890"/>
  </r>
  <r>
    <s v="P0611"/>
    <s v="Kiran Malik"/>
    <n v="67"/>
    <x v="0"/>
    <x v="8"/>
    <x v="4"/>
    <d v="2025-05-13T00:00:00"/>
    <x v="6"/>
    <d v="2025-05-19T00:00:00"/>
    <n v="6"/>
    <n v="25332"/>
  </r>
  <r>
    <s v="P0612"/>
    <s v="Anita Khan"/>
    <n v="3"/>
    <x v="0"/>
    <x v="0"/>
    <x v="1"/>
    <d v="2025-06-11T00:00:00"/>
    <x v="7"/>
    <d v="2025-06-23T00:00:00"/>
    <n v="12"/>
    <n v="133056"/>
  </r>
  <r>
    <s v="P0613"/>
    <s v="Arjun Ali"/>
    <n v="17"/>
    <x v="1"/>
    <x v="8"/>
    <x v="4"/>
    <d v="2025-03-13T00:00:00"/>
    <x v="4"/>
    <d v="2025-03-15T00:00:00"/>
    <n v="2"/>
    <n v="20074"/>
  </r>
  <r>
    <s v="P0614"/>
    <s v="Rohit Rather"/>
    <n v="29"/>
    <x v="1"/>
    <x v="9"/>
    <x v="0"/>
    <d v="2025-12-06T00:00:00"/>
    <x v="0"/>
    <d v="2025-12-15T00:00:00"/>
    <n v="9"/>
    <n v="82143"/>
  </r>
  <r>
    <s v="P0615"/>
    <s v="Pooja Kapoor"/>
    <n v="15"/>
    <x v="0"/>
    <x v="6"/>
    <x v="0"/>
    <d v="2025-07-31T00:00:00"/>
    <x v="10"/>
    <d v="2025-08-05T00:00:00"/>
    <n v="5"/>
    <n v="55545"/>
  </r>
  <r>
    <s v="P0616"/>
    <s v="Kiran Sharma"/>
    <n v="82"/>
    <x v="0"/>
    <x v="4"/>
    <x v="5"/>
    <d v="2025-02-08T00:00:00"/>
    <x v="3"/>
    <d v="2025-02-17T00:00:00"/>
    <n v="9"/>
    <n v="92349"/>
  </r>
  <r>
    <s v="P0617"/>
    <s v="Neha Gupta"/>
    <n v="40"/>
    <x v="1"/>
    <x v="5"/>
    <x v="4"/>
    <d v="2025-06-05T00:00:00"/>
    <x v="7"/>
    <d v="2025-06-12T00:00:00"/>
    <n v="7"/>
    <n v="35868"/>
  </r>
  <r>
    <s v="P0618"/>
    <s v="Arjun Rather"/>
    <n v="54"/>
    <x v="1"/>
    <x v="7"/>
    <x v="1"/>
    <d v="2025-04-16T00:00:00"/>
    <x v="5"/>
    <d v="2025-04-23T00:00:00"/>
    <n v="7"/>
    <n v="76090"/>
  </r>
  <r>
    <s v="P0619"/>
    <s v="Priya Verma"/>
    <n v="10"/>
    <x v="1"/>
    <x v="9"/>
    <x v="7"/>
    <d v="2025-12-17T00:00:00"/>
    <x v="0"/>
    <d v="2025-12-24T00:00:00"/>
    <n v="7"/>
    <n v="69447"/>
  </r>
  <r>
    <s v="P0620"/>
    <s v="Vikas Khan"/>
    <n v="87"/>
    <x v="1"/>
    <x v="2"/>
    <x v="2"/>
    <d v="2025-04-29T00:00:00"/>
    <x v="5"/>
    <d v="2025-05-06T00:00:00"/>
    <n v="7"/>
    <n v="48118"/>
  </r>
  <r>
    <s v="P0621"/>
    <s v="Zara Ali"/>
    <n v="36"/>
    <x v="0"/>
    <x v="0"/>
    <x v="0"/>
    <d v="2025-11-02T00:00:00"/>
    <x v="9"/>
    <d v="2025-11-06T00:00:00"/>
    <n v="4"/>
    <n v="18240"/>
  </r>
  <r>
    <s v="P0622"/>
    <s v="Anita Kapoor"/>
    <n v="86"/>
    <x v="1"/>
    <x v="4"/>
    <x v="2"/>
    <d v="2025-10-14T00:00:00"/>
    <x v="11"/>
    <d v="2025-10-19T00:00:00"/>
    <n v="5"/>
    <n v="56445"/>
  </r>
  <r>
    <s v="P0623"/>
    <s v="Adil Kapoor"/>
    <n v="81"/>
    <x v="0"/>
    <x v="8"/>
    <x v="2"/>
    <d v="2025-12-17T00:00:00"/>
    <x v="0"/>
    <d v="2025-12-23T00:00:00"/>
    <n v="6"/>
    <n v="30882"/>
  </r>
  <r>
    <s v="P0624"/>
    <s v="Pooja Gupta"/>
    <n v="61"/>
    <x v="1"/>
    <x v="9"/>
    <x v="2"/>
    <d v="2025-07-05T00:00:00"/>
    <x v="10"/>
    <d v="2025-07-06T00:00:00"/>
    <n v="1"/>
    <n v="11680"/>
  </r>
  <r>
    <s v="P0625"/>
    <s v="Rahul Verma"/>
    <n v="77"/>
    <x v="0"/>
    <x v="3"/>
    <x v="5"/>
    <d v="2025-09-04T00:00:00"/>
    <x v="2"/>
    <d v="2025-09-13T00:00:00"/>
    <n v="9"/>
    <n v="43290"/>
  </r>
  <r>
    <s v="P0626"/>
    <s v="Imran Ali"/>
    <n v="41"/>
    <x v="1"/>
    <x v="5"/>
    <x v="0"/>
    <d v="2025-07-24T00:00:00"/>
    <x v="10"/>
    <d v="2025-07-30T00:00:00"/>
    <n v="6"/>
    <n v="43374"/>
  </r>
  <r>
    <s v="P0627"/>
    <s v="Aman Khan"/>
    <n v="3"/>
    <x v="1"/>
    <x v="3"/>
    <x v="1"/>
    <d v="2025-03-19T00:00:00"/>
    <x v="4"/>
    <d v="2025-03-24T00:00:00"/>
    <n v="5"/>
    <n v="54815"/>
  </r>
  <r>
    <s v="P0628"/>
    <s v="Sara Gupta"/>
    <n v="50"/>
    <x v="0"/>
    <x v="5"/>
    <x v="6"/>
    <d v="2025-02-16T00:00:00"/>
    <x v="3"/>
    <d v="2025-02-27T00:00:00"/>
    <n v="11"/>
    <n v="113366"/>
  </r>
  <r>
    <s v="P0629"/>
    <s v="Anita Kapoor"/>
    <n v="31"/>
    <x v="0"/>
    <x v="9"/>
    <x v="0"/>
    <d v="2025-05-22T00:00:00"/>
    <x v="6"/>
    <d v="2025-06-04T00:00:00"/>
    <n v="13"/>
    <n v="127296"/>
  </r>
  <r>
    <s v="P0630"/>
    <s v="Anita Sharma"/>
    <n v="44"/>
    <x v="1"/>
    <x v="2"/>
    <x v="6"/>
    <d v="2025-06-28T00:00:00"/>
    <x v="7"/>
    <d v="2025-07-04T00:00:00"/>
    <n v="6"/>
    <n v="39714"/>
  </r>
  <r>
    <s v="P0631"/>
    <s v="Aman Malik"/>
    <n v="40"/>
    <x v="1"/>
    <x v="7"/>
    <x v="3"/>
    <d v="2025-12-16T00:00:00"/>
    <x v="0"/>
    <d v="2025-12-31T00:00:00"/>
    <n v="15"/>
    <n v="136110"/>
  </r>
  <r>
    <s v="P0632"/>
    <s v="Sara Khan"/>
    <n v="84"/>
    <x v="0"/>
    <x v="4"/>
    <x v="0"/>
    <d v="2025-04-18T00:00:00"/>
    <x v="5"/>
    <d v="2025-05-01T00:00:00"/>
    <n v="13"/>
    <n v="129519"/>
  </r>
  <r>
    <s v="P0633"/>
    <s v="Rahul Malik"/>
    <n v="23"/>
    <x v="1"/>
    <x v="3"/>
    <x v="0"/>
    <d v="2025-10-12T00:00:00"/>
    <x v="11"/>
    <d v="2025-10-13T00:00:00"/>
    <n v="1"/>
    <n v="7958"/>
  </r>
  <r>
    <s v="P0634"/>
    <s v="Anita Verma"/>
    <n v="57"/>
    <x v="1"/>
    <x v="1"/>
    <x v="7"/>
    <d v="2025-02-25T00:00:00"/>
    <x v="3"/>
    <d v="2025-02-27T00:00:00"/>
    <n v="2"/>
    <n v="20154"/>
  </r>
  <r>
    <s v="P0635"/>
    <s v="Sara Sharma"/>
    <n v="8"/>
    <x v="1"/>
    <x v="1"/>
    <x v="6"/>
    <d v="2025-04-17T00:00:00"/>
    <x v="5"/>
    <d v="2025-04-28T00:00:00"/>
    <n v="11"/>
    <n v="58993"/>
  </r>
  <r>
    <s v="P0636"/>
    <s v="Imran Ali"/>
    <n v="40"/>
    <x v="0"/>
    <x v="0"/>
    <x v="2"/>
    <d v="2025-08-10T00:00:00"/>
    <x v="8"/>
    <d v="2025-08-23T00:00:00"/>
    <n v="13"/>
    <n v="143312"/>
  </r>
  <r>
    <s v="P0637"/>
    <s v="Pooja Malik"/>
    <n v="15"/>
    <x v="1"/>
    <x v="9"/>
    <x v="3"/>
    <d v="2025-01-09T00:00:00"/>
    <x v="1"/>
    <d v="2025-01-13T00:00:00"/>
    <n v="4"/>
    <n v="17372"/>
  </r>
  <r>
    <s v="P0638"/>
    <s v="Adil Malik"/>
    <n v="11"/>
    <x v="1"/>
    <x v="3"/>
    <x v="0"/>
    <d v="2025-07-07T00:00:00"/>
    <x v="10"/>
    <d v="2025-07-21T00:00:00"/>
    <n v="14"/>
    <n v="107184"/>
  </r>
  <r>
    <s v="P0639"/>
    <s v="Rohit Kumar"/>
    <n v="55"/>
    <x v="0"/>
    <x v="2"/>
    <x v="3"/>
    <d v="2025-10-10T00:00:00"/>
    <x v="11"/>
    <d v="2025-10-18T00:00:00"/>
    <n v="8"/>
    <n v="91064"/>
  </r>
  <r>
    <s v="P0640"/>
    <s v="Arjun Gupta"/>
    <n v="83"/>
    <x v="1"/>
    <x v="0"/>
    <x v="1"/>
    <d v="2025-01-02T00:00:00"/>
    <x v="1"/>
    <d v="2025-01-06T00:00:00"/>
    <n v="4"/>
    <n v="30700"/>
  </r>
  <r>
    <s v="P0641"/>
    <s v="Rahul Ali"/>
    <n v="16"/>
    <x v="0"/>
    <x v="0"/>
    <x v="7"/>
    <d v="2025-09-19T00:00:00"/>
    <x v="2"/>
    <d v="2025-09-28T00:00:00"/>
    <n v="9"/>
    <n v="100611"/>
  </r>
  <r>
    <s v="P0642"/>
    <s v="Sara Kapoor"/>
    <n v="62"/>
    <x v="1"/>
    <x v="1"/>
    <x v="5"/>
    <d v="2025-11-20T00:00:00"/>
    <x v="9"/>
    <d v="2025-11-27T00:00:00"/>
    <n v="7"/>
    <n v="67620"/>
  </r>
  <r>
    <s v="P0643"/>
    <s v="Anita Ali"/>
    <n v="45"/>
    <x v="1"/>
    <x v="0"/>
    <x v="1"/>
    <d v="2025-10-26T00:00:00"/>
    <x v="11"/>
    <d v="2025-11-06T00:00:00"/>
    <n v="11"/>
    <n v="47696"/>
  </r>
  <r>
    <s v="P0644"/>
    <s v="Priya Ali"/>
    <n v="36"/>
    <x v="0"/>
    <x v="2"/>
    <x v="5"/>
    <d v="2025-04-15T00:00:00"/>
    <x v="5"/>
    <d v="2025-04-21T00:00:00"/>
    <n v="6"/>
    <n v="32958"/>
  </r>
  <r>
    <s v="P0645"/>
    <s v="Anita Sharma"/>
    <n v="11"/>
    <x v="0"/>
    <x v="2"/>
    <x v="2"/>
    <d v="2025-07-15T00:00:00"/>
    <x v="10"/>
    <d v="2025-07-29T00:00:00"/>
    <n v="14"/>
    <n v="107814"/>
  </r>
  <r>
    <s v="P0646"/>
    <s v="Sara Rather"/>
    <n v="48"/>
    <x v="0"/>
    <x v="9"/>
    <x v="2"/>
    <d v="2025-03-31T00:00:00"/>
    <x v="4"/>
    <d v="2025-04-08T00:00:00"/>
    <n v="8"/>
    <n v="60560"/>
  </r>
  <r>
    <s v="P0647"/>
    <s v="Rahul Malik"/>
    <n v="19"/>
    <x v="1"/>
    <x v="2"/>
    <x v="4"/>
    <d v="2025-07-31T00:00:00"/>
    <x v="10"/>
    <d v="2025-08-01T00:00:00"/>
    <n v="1"/>
    <n v="10474"/>
  </r>
  <r>
    <s v="P0648"/>
    <s v="Priya Rather"/>
    <n v="41"/>
    <x v="0"/>
    <x v="5"/>
    <x v="7"/>
    <d v="2025-11-25T00:00:00"/>
    <x v="9"/>
    <d v="2025-11-30T00:00:00"/>
    <n v="5"/>
    <n v="51060"/>
  </r>
  <r>
    <s v="P0649"/>
    <s v="Imran Verma"/>
    <n v="4"/>
    <x v="0"/>
    <x v="9"/>
    <x v="3"/>
    <d v="2025-04-28T00:00:00"/>
    <x v="5"/>
    <d v="2025-05-05T00:00:00"/>
    <n v="7"/>
    <n v="55510"/>
  </r>
  <r>
    <s v="P0650"/>
    <s v="Aman Kapoor"/>
    <n v="10"/>
    <x v="0"/>
    <x v="8"/>
    <x v="5"/>
    <d v="2025-04-06T00:00:00"/>
    <x v="5"/>
    <d v="2025-04-08T00:00:00"/>
    <n v="2"/>
    <n v="19618"/>
  </r>
  <r>
    <s v="P0651"/>
    <s v="Priya Malik"/>
    <n v="42"/>
    <x v="1"/>
    <x v="9"/>
    <x v="2"/>
    <d v="2025-10-26T00:00:00"/>
    <x v="11"/>
    <d v="2025-11-03T00:00:00"/>
    <n v="8"/>
    <n v="47760"/>
  </r>
  <r>
    <s v="P0652"/>
    <s v="Aman Rather"/>
    <n v="44"/>
    <x v="1"/>
    <x v="9"/>
    <x v="7"/>
    <d v="2025-07-24T00:00:00"/>
    <x v="10"/>
    <d v="2025-07-25T00:00:00"/>
    <n v="1"/>
    <n v="5406"/>
  </r>
  <r>
    <s v="P0653"/>
    <s v="Arjun Verma"/>
    <n v="41"/>
    <x v="1"/>
    <x v="7"/>
    <x v="6"/>
    <d v="2025-07-29T00:00:00"/>
    <x v="10"/>
    <d v="2025-08-10T00:00:00"/>
    <n v="12"/>
    <n v="55692"/>
  </r>
  <r>
    <s v="P0654"/>
    <s v="Anita Singh"/>
    <n v="78"/>
    <x v="0"/>
    <x v="2"/>
    <x v="0"/>
    <d v="2025-10-20T00:00:00"/>
    <x v="11"/>
    <d v="2025-10-31T00:00:00"/>
    <n v="11"/>
    <n v="68849"/>
  </r>
  <r>
    <s v="P0655"/>
    <s v="Rahul Malik"/>
    <n v="75"/>
    <x v="0"/>
    <x v="2"/>
    <x v="5"/>
    <d v="2025-12-06T00:00:00"/>
    <x v="0"/>
    <d v="2025-12-11T00:00:00"/>
    <n v="5"/>
    <n v="30545"/>
  </r>
  <r>
    <s v="P0656"/>
    <s v="Kiran Kumar"/>
    <n v="78"/>
    <x v="0"/>
    <x v="4"/>
    <x v="0"/>
    <d v="2025-03-09T00:00:00"/>
    <x v="4"/>
    <d v="2025-03-18T00:00:00"/>
    <n v="9"/>
    <n v="52938"/>
  </r>
  <r>
    <s v="P0657"/>
    <s v="Rahul Singh"/>
    <n v="26"/>
    <x v="0"/>
    <x v="8"/>
    <x v="3"/>
    <d v="2025-10-19T00:00:00"/>
    <x v="11"/>
    <d v="2025-10-31T00:00:00"/>
    <n v="12"/>
    <n v="56604"/>
  </r>
  <r>
    <s v="P0658"/>
    <s v="Mehak Gupta"/>
    <n v="2"/>
    <x v="0"/>
    <x v="1"/>
    <x v="6"/>
    <d v="2025-05-07T00:00:00"/>
    <x v="6"/>
    <d v="2025-05-09T00:00:00"/>
    <n v="2"/>
    <n v="14714"/>
  </r>
  <r>
    <s v="P0659"/>
    <s v="Sara Malik"/>
    <n v="79"/>
    <x v="0"/>
    <x v="5"/>
    <x v="7"/>
    <d v="2025-06-26T00:00:00"/>
    <x v="7"/>
    <d v="2025-07-04T00:00:00"/>
    <n v="8"/>
    <n v="77392"/>
  </r>
  <r>
    <s v="P0660"/>
    <s v="Priya Singh"/>
    <n v="15"/>
    <x v="1"/>
    <x v="5"/>
    <x v="5"/>
    <d v="2025-01-21T00:00:00"/>
    <x v="1"/>
    <d v="2025-01-27T00:00:00"/>
    <n v="6"/>
    <n v="45516"/>
  </r>
  <r>
    <s v="P0661"/>
    <s v="Rahul Gupta"/>
    <n v="73"/>
    <x v="0"/>
    <x v="1"/>
    <x v="3"/>
    <d v="2025-12-09T00:00:00"/>
    <x v="0"/>
    <d v="2025-12-18T00:00:00"/>
    <n v="9"/>
    <n v="48735"/>
  </r>
  <r>
    <s v="P0662"/>
    <s v="Neha Verma"/>
    <n v="25"/>
    <x v="1"/>
    <x v="4"/>
    <x v="4"/>
    <d v="2025-09-17T00:00:00"/>
    <x v="2"/>
    <d v="2025-09-23T00:00:00"/>
    <n v="6"/>
    <n v="30294"/>
  </r>
  <r>
    <s v="P0663"/>
    <s v="Sara Sharma"/>
    <n v="2"/>
    <x v="0"/>
    <x v="8"/>
    <x v="3"/>
    <d v="2025-07-10T00:00:00"/>
    <x v="10"/>
    <d v="2025-07-24T00:00:00"/>
    <n v="14"/>
    <n v="77826"/>
  </r>
  <r>
    <s v="P0664"/>
    <s v="Sara Rather"/>
    <n v="28"/>
    <x v="1"/>
    <x v="4"/>
    <x v="5"/>
    <d v="2025-09-21T00:00:00"/>
    <x v="2"/>
    <d v="2025-09-23T00:00:00"/>
    <n v="2"/>
    <n v="12586"/>
  </r>
  <r>
    <s v="P0665"/>
    <s v="Kiran Malik"/>
    <n v="87"/>
    <x v="1"/>
    <x v="4"/>
    <x v="1"/>
    <d v="2025-02-16T00:00:00"/>
    <x v="3"/>
    <d v="2025-02-28T00:00:00"/>
    <n v="12"/>
    <n v="49728"/>
  </r>
  <r>
    <s v="P0666"/>
    <s v="Zara Malik"/>
    <n v="12"/>
    <x v="0"/>
    <x v="5"/>
    <x v="6"/>
    <d v="2025-12-19T00:00:00"/>
    <x v="0"/>
    <d v="2025-12-27T00:00:00"/>
    <n v="8"/>
    <n v="52080"/>
  </r>
  <r>
    <s v="P0667"/>
    <s v="Arjun Malik"/>
    <n v="77"/>
    <x v="1"/>
    <x v="9"/>
    <x v="4"/>
    <d v="2025-01-24T00:00:00"/>
    <x v="1"/>
    <d v="2025-02-01T00:00:00"/>
    <n v="8"/>
    <n v="34048"/>
  </r>
  <r>
    <s v="P0668"/>
    <s v="Sara Rather"/>
    <n v="40"/>
    <x v="1"/>
    <x v="6"/>
    <x v="7"/>
    <d v="2025-05-22T00:00:00"/>
    <x v="6"/>
    <d v="2025-06-06T00:00:00"/>
    <n v="15"/>
    <n v="137565"/>
  </r>
  <r>
    <s v="P0669"/>
    <s v="Adil Khan"/>
    <n v="9"/>
    <x v="0"/>
    <x v="7"/>
    <x v="1"/>
    <d v="2025-04-29T00:00:00"/>
    <x v="5"/>
    <d v="2025-05-05T00:00:00"/>
    <n v="6"/>
    <n v="50430"/>
  </r>
  <r>
    <s v="P0670"/>
    <s v="Rahul Malik"/>
    <n v="39"/>
    <x v="0"/>
    <x v="8"/>
    <x v="3"/>
    <d v="2025-07-08T00:00:00"/>
    <x v="10"/>
    <d v="2025-07-18T00:00:00"/>
    <n v="10"/>
    <n v="78910"/>
  </r>
  <r>
    <s v="P0671"/>
    <s v="Arjun Sharma"/>
    <n v="14"/>
    <x v="1"/>
    <x v="9"/>
    <x v="5"/>
    <d v="2025-08-30T00:00:00"/>
    <x v="8"/>
    <d v="2025-09-04T00:00:00"/>
    <n v="5"/>
    <n v="34920"/>
  </r>
  <r>
    <s v="P0672"/>
    <s v="Mehak Ali"/>
    <n v="34"/>
    <x v="0"/>
    <x v="4"/>
    <x v="2"/>
    <d v="2025-07-30T00:00:00"/>
    <x v="10"/>
    <d v="2025-08-11T00:00:00"/>
    <n v="12"/>
    <n v="93804"/>
  </r>
  <r>
    <s v="P0673"/>
    <s v="Arjun Malik"/>
    <n v="34"/>
    <x v="1"/>
    <x v="0"/>
    <x v="6"/>
    <d v="2025-01-25T00:00:00"/>
    <x v="1"/>
    <d v="2025-02-02T00:00:00"/>
    <n v="8"/>
    <n v="49032"/>
  </r>
  <r>
    <s v="P0674"/>
    <s v="Vikas Malik"/>
    <n v="31"/>
    <x v="0"/>
    <x v="5"/>
    <x v="2"/>
    <d v="2025-12-19T00:00:00"/>
    <x v="0"/>
    <d v="2025-12-21T00:00:00"/>
    <n v="2"/>
    <n v="12054"/>
  </r>
  <r>
    <s v="P0675"/>
    <s v="Kiran Khan"/>
    <n v="89"/>
    <x v="0"/>
    <x v="9"/>
    <x v="2"/>
    <d v="2025-09-04T00:00:00"/>
    <x v="2"/>
    <d v="2025-09-15T00:00:00"/>
    <n v="11"/>
    <n v="130559"/>
  </r>
  <r>
    <s v="P0676"/>
    <s v="Vikas Khan"/>
    <n v="51"/>
    <x v="0"/>
    <x v="0"/>
    <x v="3"/>
    <d v="2025-11-09T00:00:00"/>
    <x v="9"/>
    <d v="2025-11-16T00:00:00"/>
    <n v="7"/>
    <n v="67872"/>
  </r>
  <r>
    <s v="P0677"/>
    <s v="Sara Singh"/>
    <n v="46"/>
    <x v="0"/>
    <x v="5"/>
    <x v="5"/>
    <d v="2025-02-22T00:00:00"/>
    <x v="3"/>
    <d v="2025-02-24T00:00:00"/>
    <n v="2"/>
    <n v="20624"/>
  </r>
  <r>
    <s v="P0678"/>
    <s v="Vikas Singh"/>
    <n v="7"/>
    <x v="1"/>
    <x v="9"/>
    <x v="6"/>
    <d v="2025-06-01T00:00:00"/>
    <x v="7"/>
    <d v="2025-06-14T00:00:00"/>
    <n v="13"/>
    <n v="119548"/>
  </r>
  <r>
    <s v="P0679"/>
    <s v="Mehak Verma"/>
    <n v="65"/>
    <x v="0"/>
    <x v="4"/>
    <x v="2"/>
    <d v="2025-01-19T00:00:00"/>
    <x v="1"/>
    <d v="2025-01-31T00:00:00"/>
    <n v="12"/>
    <n v="76572"/>
  </r>
  <r>
    <s v="P0680"/>
    <s v="Mehak Gupta"/>
    <n v="3"/>
    <x v="0"/>
    <x v="2"/>
    <x v="4"/>
    <d v="2025-01-19T00:00:00"/>
    <x v="1"/>
    <d v="2025-01-24T00:00:00"/>
    <n v="5"/>
    <n v="52675"/>
  </r>
  <r>
    <s v="P0681"/>
    <s v="Arjun Singh"/>
    <n v="27"/>
    <x v="0"/>
    <x v="8"/>
    <x v="2"/>
    <d v="2025-12-05T00:00:00"/>
    <x v="0"/>
    <d v="2025-12-18T00:00:00"/>
    <n v="13"/>
    <n v="155922"/>
  </r>
  <r>
    <s v="P0682"/>
    <s v="Neha Malik"/>
    <n v="70"/>
    <x v="0"/>
    <x v="2"/>
    <x v="6"/>
    <d v="2025-09-18T00:00:00"/>
    <x v="2"/>
    <d v="2025-09-29T00:00:00"/>
    <n v="11"/>
    <n v="60830"/>
  </r>
  <r>
    <s v="P0683"/>
    <s v="Neha Rather"/>
    <n v="79"/>
    <x v="1"/>
    <x v="5"/>
    <x v="0"/>
    <d v="2025-10-22T00:00:00"/>
    <x v="11"/>
    <d v="2025-10-31T00:00:00"/>
    <n v="9"/>
    <n v="36279"/>
  </r>
  <r>
    <s v="P0684"/>
    <s v="Neha Ali"/>
    <n v="64"/>
    <x v="1"/>
    <x v="2"/>
    <x v="4"/>
    <d v="2025-08-24T00:00:00"/>
    <x v="8"/>
    <d v="2025-09-02T00:00:00"/>
    <n v="9"/>
    <n v="75942"/>
  </r>
  <r>
    <s v="P0685"/>
    <s v="Priya Kumar"/>
    <n v="40"/>
    <x v="1"/>
    <x v="5"/>
    <x v="0"/>
    <d v="2025-09-30T00:00:00"/>
    <x v="2"/>
    <d v="2025-10-09T00:00:00"/>
    <n v="9"/>
    <n v="51435"/>
  </r>
  <r>
    <s v="P0686"/>
    <s v="Zara Sharma"/>
    <n v="17"/>
    <x v="1"/>
    <x v="9"/>
    <x v="6"/>
    <d v="2025-01-26T00:00:00"/>
    <x v="1"/>
    <d v="2025-01-31T00:00:00"/>
    <n v="5"/>
    <n v="22540"/>
  </r>
  <r>
    <s v="P0687"/>
    <s v="Arjun Kumar"/>
    <n v="79"/>
    <x v="0"/>
    <x v="7"/>
    <x v="7"/>
    <d v="2025-12-10T00:00:00"/>
    <x v="0"/>
    <d v="2025-12-18T00:00:00"/>
    <n v="8"/>
    <n v="76856"/>
  </r>
  <r>
    <s v="P0688"/>
    <s v="Priya Gupta"/>
    <n v="70"/>
    <x v="1"/>
    <x v="2"/>
    <x v="6"/>
    <d v="2025-07-03T00:00:00"/>
    <x v="10"/>
    <d v="2025-07-08T00:00:00"/>
    <n v="5"/>
    <n v="39915"/>
  </r>
  <r>
    <s v="P0689"/>
    <s v="Vikas Kapoor"/>
    <n v="29"/>
    <x v="1"/>
    <x v="6"/>
    <x v="7"/>
    <d v="2025-05-10T00:00:00"/>
    <x v="6"/>
    <d v="2025-05-18T00:00:00"/>
    <n v="8"/>
    <n v="56720"/>
  </r>
  <r>
    <s v="P0690"/>
    <s v="Aman Ali"/>
    <n v="66"/>
    <x v="1"/>
    <x v="8"/>
    <x v="5"/>
    <d v="2025-04-19T00:00:00"/>
    <x v="5"/>
    <d v="2025-05-02T00:00:00"/>
    <n v="13"/>
    <n v="135473"/>
  </r>
  <r>
    <s v="P0691"/>
    <s v="Adil Kumar"/>
    <n v="16"/>
    <x v="1"/>
    <x v="7"/>
    <x v="2"/>
    <d v="2025-04-21T00:00:00"/>
    <x v="5"/>
    <d v="2025-05-01T00:00:00"/>
    <n v="10"/>
    <n v="81250"/>
  </r>
  <r>
    <s v="P0692"/>
    <s v="Rahul Sharma"/>
    <n v="37"/>
    <x v="1"/>
    <x v="6"/>
    <x v="0"/>
    <d v="2025-04-04T00:00:00"/>
    <x v="5"/>
    <d v="2025-04-08T00:00:00"/>
    <n v="4"/>
    <n v="39000"/>
  </r>
  <r>
    <s v="P0693"/>
    <s v="Kiran Sharma"/>
    <n v="39"/>
    <x v="0"/>
    <x v="1"/>
    <x v="4"/>
    <d v="2025-05-06T00:00:00"/>
    <x v="6"/>
    <d v="2025-05-10T00:00:00"/>
    <n v="4"/>
    <n v="30696"/>
  </r>
  <r>
    <s v="P0694"/>
    <s v="Rohit Rather"/>
    <n v="49"/>
    <x v="0"/>
    <x v="1"/>
    <x v="6"/>
    <d v="2025-06-02T00:00:00"/>
    <x v="7"/>
    <d v="2025-06-08T00:00:00"/>
    <n v="6"/>
    <n v="40644"/>
  </r>
  <r>
    <s v="P0695"/>
    <s v="Neha Khan"/>
    <n v="63"/>
    <x v="1"/>
    <x v="1"/>
    <x v="3"/>
    <d v="2025-05-20T00:00:00"/>
    <x v="6"/>
    <d v="2025-05-26T00:00:00"/>
    <n v="6"/>
    <n v="45210"/>
  </r>
  <r>
    <s v="P0696"/>
    <s v="Mehak Singh"/>
    <n v="12"/>
    <x v="1"/>
    <x v="8"/>
    <x v="6"/>
    <d v="2025-09-19T00:00:00"/>
    <x v="2"/>
    <d v="2025-10-02T00:00:00"/>
    <n v="13"/>
    <n v="85098"/>
  </r>
  <r>
    <s v="P0697"/>
    <s v="Priya Malik"/>
    <n v="66"/>
    <x v="0"/>
    <x v="2"/>
    <x v="0"/>
    <d v="2025-10-13T00:00:00"/>
    <x v="11"/>
    <d v="2025-10-16T00:00:00"/>
    <n v="3"/>
    <n v="17523"/>
  </r>
  <r>
    <s v="P0698"/>
    <s v="Arjun Malik"/>
    <n v="55"/>
    <x v="0"/>
    <x v="4"/>
    <x v="2"/>
    <d v="2025-07-21T00:00:00"/>
    <x v="10"/>
    <d v="2025-07-22T00:00:00"/>
    <n v="1"/>
    <n v="10280"/>
  </r>
  <r>
    <s v="P0699"/>
    <s v="Arjun Gupta"/>
    <n v="47"/>
    <x v="1"/>
    <x v="6"/>
    <x v="7"/>
    <d v="2025-08-07T00:00:00"/>
    <x v="8"/>
    <d v="2025-08-20T00:00:00"/>
    <n v="13"/>
    <n v="147849"/>
  </r>
  <r>
    <s v="P0700"/>
    <s v="Anita Singh"/>
    <n v="73"/>
    <x v="1"/>
    <x v="3"/>
    <x v="5"/>
    <d v="2025-11-03T00:00:00"/>
    <x v="9"/>
    <d v="2025-11-13T00:00:00"/>
    <n v="10"/>
    <n v="103930"/>
  </r>
  <r>
    <s v="P0701"/>
    <s v="Arjun Khan"/>
    <n v="86"/>
    <x v="0"/>
    <x v="0"/>
    <x v="3"/>
    <d v="2025-06-01T00:00:00"/>
    <x v="7"/>
    <d v="2025-06-02T00:00:00"/>
    <n v="1"/>
    <n v="10724"/>
  </r>
  <r>
    <s v="P0702"/>
    <s v="Sara Kapoor"/>
    <n v="33"/>
    <x v="1"/>
    <x v="5"/>
    <x v="3"/>
    <d v="2025-06-13T00:00:00"/>
    <x v="7"/>
    <d v="2025-06-16T00:00:00"/>
    <n v="3"/>
    <n v="34629"/>
  </r>
  <r>
    <s v="P0703"/>
    <s v="Adil Khan"/>
    <n v="18"/>
    <x v="0"/>
    <x v="2"/>
    <x v="1"/>
    <d v="2025-01-03T00:00:00"/>
    <x v="1"/>
    <d v="2025-01-15T00:00:00"/>
    <n v="12"/>
    <n v="131724"/>
  </r>
  <r>
    <s v="P0704"/>
    <s v="Zara Singh"/>
    <n v="59"/>
    <x v="0"/>
    <x v="9"/>
    <x v="5"/>
    <d v="2025-10-24T00:00:00"/>
    <x v="11"/>
    <d v="2025-11-01T00:00:00"/>
    <n v="8"/>
    <n v="33176"/>
  </r>
  <r>
    <s v="P0705"/>
    <s v="Neha Gupta"/>
    <n v="18"/>
    <x v="1"/>
    <x v="6"/>
    <x v="3"/>
    <d v="2025-10-27T00:00:00"/>
    <x v="11"/>
    <d v="2025-10-29T00:00:00"/>
    <n v="2"/>
    <n v="11576"/>
  </r>
  <r>
    <s v="P0706"/>
    <s v="Imran Verma"/>
    <n v="22"/>
    <x v="1"/>
    <x v="8"/>
    <x v="7"/>
    <d v="2025-10-27T00:00:00"/>
    <x v="11"/>
    <d v="2025-11-04T00:00:00"/>
    <n v="8"/>
    <n v="53904"/>
  </r>
  <r>
    <s v="P0707"/>
    <s v="Anita Singh"/>
    <n v="49"/>
    <x v="1"/>
    <x v="5"/>
    <x v="7"/>
    <d v="2025-03-03T00:00:00"/>
    <x v="4"/>
    <d v="2025-03-18T00:00:00"/>
    <n v="15"/>
    <n v="127155"/>
  </r>
  <r>
    <s v="P0708"/>
    <s v="Vikas Verma"/>
    <n v="18"/>
    <x v="1"/>
    <x v="0"/>
    <x v="5"/>
    <d v="2025-01-05T00:00:00"/>
    <x v="1"/>
    <d v="2025-01-11T00:00:00"/>
    <n v="6"/>
    <n v="44418"/>
  </r>
  <r>
    <s v="P0709"/>
    <s v="Rohit Kapoor"/>
    <n v="32"/>
    <x v="0"/>
    <x v="3"/>
    <x v="1"/>
    <d v="2025-07-27T00:00:00"/>
    <x v="10"/>
    <d v="2025-08-05T00:00:00"/>
    <n v="9"/>
    <n v="41580"/>
  </r>
  <r>
    <s v="P0710"/>
    <s v="Vikas Ali"/>
    <n v="73"/>
    <x v="0"/>
    <x v="3"/>
    <x v="0"/>
    <d v="2025-05-29T00:00:00"/>
    <x v="6"/>
    <d v="2025-06-04T00:00:00"/>
    <n v="6"/>
    <n v="29892"/>
  </r>
  <r>
    <s v="P0711"/>
    <s v="Anita Gupta"/>
    <n v="66"/>
    <x v="0"/>
    <x v="8"/>
    <x v="4"/>
    <d v="2025-09-10T00:00:00"/>
    <x v="2"/>
    <d v="2025-09-23T00:00:00"/>
    <n v="13"/>
    <n v="155987"/>
  </r>
  <r>
    <s v="P0712"/>
    <s v="Imran Malik"/>
    <n v="26"/>
    <x v="0"/>
    <x v="6"/>
    <x v="3"/>
    <d v="2025-03-24T00:00:00"/>
    <x v="4"/>
    <d v="2025-04-04T00:00:00"/>
    <n v="11"/>
    <n v="63096"/>
  </r>
  <r>
    <s v="P0713"/>
    <s v="Rahul Rather"/>
    <n v="3"/>
    <x v="1"/>
    <x v="6"/>
    <x v="7"/>
    <d v="2025-08-17T00:00:00"/>
    <x v="8"/>
    <d v="2025-08-25T00:00:00"/>
    <n v="8"/>
    <n v="64184"/>
  </r>
  <r>
    <s v="P0714"/>
    <s v="Priya Ali"/>
    <n v="74"/>
    <x v="1"/>
    <x v="6"/>
    <x v="7"/>
    <d v="2025-09-08T00:00:00"/>
    <x v="2"/>
    <d v="2025-09-09T00:00:00"/>
    <n v="1"/>
    <n v="8061"/>
  </r>
  <r>
    <s v="P0715"/>
    <s v="Rahul Singh"/>
    <n v="87"/>
    <x v="1"/>
    <x v="2"/>
    <x v="0"/>
    <d v="2025-01-25T00:00:00"/>
    <x v="1"/>
    <d v="2025-01-27T00:00:00"/>
    <n v="2"/>
    <n v="18980"/>
  </r>
  <r>
    <s v="P0716"/>
    <s v="Pooja Gupta"/>
    <n v="10"/>
    <x v="1"/>
    <x v="9"/>
    <x v="2"/>
    <d v="2025-07-29T00:00:00"/>
    <x v="10"/>
    <d v="2025-07-31T00:00:00"/>
    <n v="2"/>
    <n v="13188"/>
  </r>
  <r>
    <s v="P0717"/>
    <s v="Zara Kumar"/>
    <n v="8"/>
    <x v="0"/>
    <x v="9"/>
    <x v="3"/>
    <d v="2025-01-21T00:00:00"/>
    <x v="1"/>
    <d v="2025-01-26T00:00:00"/>
    <n v="5"/>
    <n v="24740"/>
  </r>
  <r>
    <s v="P0718"/>
    <s v="Kiran Kapoor"/>
    <n v="46"/>
    <x v="1"/>
    <x v="9"/>
    <x v="3"/>
    <d v="2025-01-19T00:00:00"/>
    <x v="1"/>
    <d v="2025-02-03T00:00:00"/>
    <n v="15"/>
    <n v="66450"/>
  </r>
  <r>
    <s v="P0719"/>
    <s v="Zara Kumar"/>
    <n v="14"/>
    <x v="0"/>
    <x v="8"/>
    <x v="2"/>
    <d v="2025-01-28T00:00:00"/>
    <x v="1"/>
    <d v="2025-02-11T00:00:00"/>
    <n v="14"/>
    <n v="113358"/>
  </r>
  <r>
    <s v="P0720"/>
    <s v="Kiran Kumar"/>
    <n v="5"/>
    <x v="0"/>
    <x v="7"/>
    <x v="1"/>
    <d v="2025-12-09T00:00:00"/>
    <x v="0"/>
    <d v="2025-12-13T00:00:00"/>
    <n v="4"/>
    <n v="32904"/>
  </r>
  <r>
    <s v="P0721"/>
    <s v="Vikas Rather"/>
    <n v="29"/>
    <x v="1"/>
    <x v="9"/>
    <x v="7"/>
    <d v="2025-08-21T00:00:00"/>
    <x v="8"/>
    <d v="2025-08-26T00:00:00"/>
    <n v="5"/>
    <n v="52080"/>
  </r>
  <r>
    <s v="P0722"/>
    <s v="Rohit Verma"/>
    <n v="90"/>
    <x v="1"/>
    <x v="3"/>
    <x v="4"/>
    <d v="2025-09-21T00:00:00"/>
    <x v="2"/>
    <d v="2025-09-24T00:00:00"/>
    <n v="3"/>
    <n v="14544"/>
  </r>
  <r>
    <s v="P0723"/>
    <s v="Pooja Kapoor"/>
    <n v="62"/>
    <x v="0"/>
    <x v="7"/>
    <x v="3"/>
    <d v="2025-03-06T00:00:00"/>
    <x v="4"/>
    <d v="2025-03-18T00:00:00"/>
    <n v="12"/>
    <n v="52044"/>
  </r>
  <r>
    <s v="P0724"/>
    <s v="Priya Malik"/>
    <n v="90"/>
    <x v="0"/>
    <x v="8"/>
    <x v="0"/>
    <d v="2025-08-04T00:00:00"/>
    <x v="8"/>
    <d v="2025-08-18T00:00:00"/>
    <n v="14"/>
    <n v="130200"/>
  </r>
  <r>
    <s v="P0725"/>
    <s v="Zara Sharma"/>
    <n v="12"/>
    <x v="0"/>
    <x v="2"/>
    <x v="0"/>
    <d v="2025-01-04T00:00:00"/>
    <x v="1"/>
    <d v="2025-01-19T00:00:00"/>
    <n v="15"/>
    <n v="153480"/>
  </r>
  <r>
    <s v="P0726"/>
    <s v="Arjun Singh"/>
    <n v="4"/>
    <x v="0"/>
    <x v="1"/>
    <x v="4"/>
    <d v="2025-12-14T00:00:00"/>
    <x v="0"/>
    <d v="2025-12-24T00:00:00"/>
    <n v="10"/>
    <n v="86490"/>
  </r>
  <r>
    <s v="P0727"/>
    <s v="Priya Singh"/>
    <n v="55"/>
    <x v="0"/>
    <x v="5"/>
    <x v="6"/>
    <d v="2025-05-14T00:00:00"/>
    <x v="6"/>
    <d v="2025-05-28T00:00:00"/>
    <n v="14"/>
    <n v="103824"/>
  </r>
  <r>
    <s v="P0728"/>
    <s v="Aman Rather"/>
    <n v="72"/>
    <x v="1"/>
    <x v="3"/>
    <x v="6"/>
    <d v="2025-01-24T00:00:00"/>
    <x v="1"/>
    <d v="2025-02-02T00:00:00"/>
    <n v="9"/>
    <n v="52749"/>
  </r>
  <r>
    <s v="P0729"/>
    <s v="Mehak Rather"/>
    <n v="77"/>
    <x v="1"/>
    <x v="9"/>
    <x v="2"/>
    <d v="2025-07-12T00:00:00"/>
    <x v="10"/>
    <d v="2025-07-13T00:00:00"/>
    <n v="1"/>
    <n v="11784"/>
  </r>
  <r>
    <s v="P0730"/>
    <s v="Neha Ali"/>
    <n v="9"/>
    <x v="0"/>
    <x v="7"/>
    <x v="4"/>
    <d v="2025-05-29T00:00:00"/>
    <x v="6"/>
    <d v="2025-05-30T00:00:00"/>
    <n v="1"/>
    <n v="10048"/>
  </r>
  <r>
    <s v="P0731"/>
    <s v="Kiran Ali"/>
    <n v="82"/>
    <x v="1"/>
    <x v="1"/>
    <x v="5"/>
    <d v="2025-11-08T00:00:00"/>
    <x v="9"/>
    <d v="2025-11-14T00:00:00"/>
    <n v="6"/>
    <n v="53256"/>
  </r>
  <r>
    <s v="P0732"/>
    <s v="Imran Malik"/>
    <n v="68"/>
    <x v="1"/>
    <x v="0"/>
    <x v="6"/>
    <d v="2025-06-28T00:00:00"/>
    <x v="7"/>
    <d v="2025-07-06T00:00:00"/>
    <n v="8"/>
    <n v="78280"/>
  </r>
  <r>
    <s v="P0733"/>
    <s v="Vikas Khan"/>
    <n v="42"/>
    <x v="1"/>
    <x v="0"/>
    <x v="4"/>
    <d v="2025-10-23T00:00:00"/>
    <x v="11"/>
    <d v="2025-10-30T00:00:00"/>
    <n v="7"/>
    <n v="31591"/>
  </r>
  <r>
    <s v="P0734"/>
    <s v="Arjun Ali"/>
    <n v="9"/>
    <x v="0"/>
    <x v="8"/>
    <x v="1"/>
    <d v="2025-04-29T00:00:00"/>
    <x v="5"/>
    <d v="2025-05-07T00:00:00"/>
    <n v="8"/>
    <n v="92752"/>
  </r>
  <r>
    <s v="P0735"/>
    <s v="Sara Kapoor"/>
    <n v="34"/>
    <x v="0"/>
    <x v="8"/>
    <x v="3"/>
    <d v="2025-04-06T00:00:00"/>
    <x v="5"/>
    <d v="2025-04-15T00:00:00"/>
    <n v="9"/>
    <n v="46494"/>
  </r>
  <r>
    <s v="P0736"/>
    <s v="Sara Kumar"/>
    <n v="61"/>
    <x v="1"/>
    <x v="2"/>
    <x v="1"/>
    <d v="2025-08-24T00:00:00"/>
    <x v="8"/>
    <d v="2025-08-31T00:00:00"/>
    <n v="7"/>
    <n v="80633"/>
  </r>
  <r>
    <s v="P0737"/>
    <s v="Adil Sharma"/>
    <n v="42"/>
    <x v="1"/>
    <x v="7"/>
    <x v="1"/>
    <d v="2025-10-18T00:00:00"/>
    <x v="11"/>
    <d v="2025-10-25T00:00:00"/>
    <n v="7"/>
    <n v="55454"/>
  </r>
  <r>
    <s v="P0738"/>
    <s v="Imran Khan"/>
    <n v="65"/>
    <x v="1"/>
    <x v="1"/>
    <x v="6"/>
    <d v="2025-10-29T00:00:00"/>
    <x v="11"/>
    <d v="2025-11-05T00:00:00"/>
    <n v="7"/>
    <n v="59773"/>
  </r>
  <r>
    <s v="P0739"/>
    <s v="Adil Verma"/>
    <n v="68"/>
    <x v="0"/>
    <x v="2"/>
    <x v="1"/>
    <d v="2025-07-28T00:00:00"/>
    <x v="10"/>
    <d v="2025-08-04T00:00:00"/>
    <n v="7"/>
    <n v="62559"/>
  </r>
  <r>
    <s v="P0740"/>
    <s v="Sara Kumar"/>
    <n v="26"/>
    <x v="0"/>
    <x v="7"/>
    <x v="0"/>
    <d v="2025-10-27T00:00:00"/>
    <x v="11"/>
    <d v="2025-10-31T00:00:00"/>
    <n v="4"/>
    <n v="36428"/>
  </r>
  <r>
    <s v="P0741"/>
    <s v="Neha Rather"/>
    <n v="40"/>
    <x v="1"/>
    <x v="7"/>
    <x v="3"/>
    <d v="2025-09-15T00:00:00"/>
    <x v="2"/>
    <d v="2025-09-22T00:00:00"/>
    <n v="7"/>
    <n v="66675"/>
  </r>
  <r>
    <s v="P0742"/>
    <s v="Arjun Verma"/>
    <n v="71"/>
    <x v="1"/>
    <x v="8"/>
    <x v="3"/>
    <d v="2025-09-29T00:00:00"/>
    <x v="2"/>
    <d v="2025-10-10T00:00:00"/>
    <n v="11"/>
    <n v="115588"/>
  </r>
  <r>
    <s v="P0743"/>
    <s v="Anita Ali"/>
    <n v="76"/>
    <x v="0"/>
    <x v="1"/>
    <x v="1"/>
    <d v="2025-11-30T00:00:00"/>
    <x v="9"/>
    <d v="2025-12-04T00:00:00"/>
    <n v="4"/>
    <n v="19060"/>
  </r>
  <r>
    <s v="P0744"/>
    <s v="Priya Rather"/>
    <n v="9"/>
    <x v="1"/>
    <x v="2"/>
    <x v="5"/>
    <d v="2025-11-10T00:00:00"/>
    <x v="9"/>
    <d v="2025-11-19T00:00:00"/>
    <n v="9"/>
    <n v="41598"/>
  </r>
  <r>
    <s v="P0745"/>
    <s v="Mehak Ali"/>
    <n v="16"/>
    <x v="0"/>
    <x v="2"/>
    <x v="1"/>
    <d v="2025-02-03T00:00:00"/>
    <x v="3"/>
    <d v="2025-02-04T00:00:00"/>
    <n v="1"/>
    <n v="11211"/>
  </r>
  <r>
    <s v="P0746"/>
    <s v="Vikas Khan"/>
    <n v="28"/>
    <x v="0"/>
    <x v="7"/>
    <x v="5"/>
    <d v="2025-05-11T00:00:00"/>
    <x v="6"/>
    <d v="2025-05-14T00:00:00"/>
    <n v="3"/>
    <n v="32892"/>
  </r>
  <r>
    <s v="P0747"/>
    <s v="Zara Kapoor"/>
    <n v="56"/>
    <x v="1"/>
    <x v="9"/>
    <x v="3"/>
    <d v="2025-11-18T00:00:00"/>
    <x v="9"/>
    <d v="2025-11-26T00:00:00"/>
    <n v="8"/>
    <n v="63712"/>
  </r>
  <r>
    <s v="P0748"/>
    <s v="Sara Kapoor"/>
    <n v="13"/>
    <x v="0"/>
    <x v="0"/>
    <x v="5"/>
    <d v="2025-11-21T00:00:00"/>
    <x v="9"/>
    <d v="2025-12-03T00:00:00"/>
    <n v="12"/>
    <n v="75924"/>
  </r>
  <r>
    <s v="P0749"/>
    <s v="Sara Khan"/>
    <n v="46"/>
    <x v="0"/>
    <x v="8"/>
    <x v="3"/>
    <d v="2025-12-19T00:00:00"/>
    <x v="0"/>
    <d v="2025-12-23T00:00:00"/>
    <n v="4"/>
    <n v="19328"/>
  </r>
  <r>
    <s v="P0750"/>
    <s v="Anita Malik"/>
    <n v="53"/>
    <x v="1"/>
    <x v="1"/>
    <x v="1"/>
    <d v="2025-01-07T00:00:00"/>
    <x v="1"/>
    <d v="2025-01-18T00:00:00"/>
    <n v="11"/>
    <n v="86922"/>
  </r>
  <r>
    <s v="P0751"/>
    <s v="Rahul Malik"/>
    <n v="70"/>
    <x v="0"/>
    <x v="6"/>
    <x v="2"/>
    <d v="2025-07-06T00:00:00"/>
    <x v="10"/>
    <d v="2025-07-08T00:00:00"/>
    <n v="2"/>
    <n v="11636"/>
  </r>
  <r>
    <s v="P0752"/>
    <s v="Anita Malik"/>
    <n v="70"/>
    <x v="1"/>
    <x v="6"/>
    <x v="3"/>
    <d v="2025-10-15T00:00:00"/>
    <x v="11"/>
    <d v="2025-10-21T00:00:00"/>
    <n v="6"/>
    <n v="63996"/>
  </r>
  <r>
    <s v="P0753"/>
    <s v="Vikas Kumar"/>
    <n v="48"/>
    <x v="1"/>
    <x v="5"/>
    <x v="2"/>
    <d v="2025-04-03T00:00:00"/>
    <x v="5"/>
    <d v="2025-04-04T00:00:00"/>
    <n v="1"/>
    <n v="8631"/>
  </r>
  <r>
    <s v="P0754"/>
    <s v="Adil Sharma"/>
    <n v="73"/>
    <x v="1"/>
    <x v="5"/>
    <x v="6"/>
    <d v="2025-08-16T00:00:00"/>
    <x v="8"/>
    <d v="2025-08-22T00:00:00"/>
    <n v="6"/>
    <n v="71094"/>
  </r>
  <r>
    <s v="P0755"/>
    <s v="Imran Sharma"/>
    <n v="42"/>
    <x v="0"/>
    <x v="4"/>
    <x v="3"/>
    <d v="2025-07-24T00:00:00"/>
    <x v="10"/>
    <d v="2025-08-03T00:00:00"/>
    <n v="10"/>
    <n v="91350"/>
  </r>
  <r>
    <s v="P0756"/>
    <s v="Rahul Sharma"/>
    <n v="59"/>
    <x v="0"/>
    <x v="1"/>
    <x v="4"/>
    <d v="2025-07-14T00:00:00"/>
    <x v="10"/>
    <d v="2025-07-29T00:00:00"/>
    <n v="15"/>
    <n v="172845"/>
  </r>
  <r>
    <s v="P0757"/>
    <s v="Imran Singh"/>
    <n v="61"/>
    <x v="1"/>
    <x v="3"/>
    <x v="7"/>
    <d v="2025-04-11T00:00:00"/>
    <x v="5"/>
    <d v="2025-04-25T00:00:00"/>
    <n v="14"/>
    <n v="113442"/>
  </r>
  <r>
    <s v="P0758"/>
    <s v="Mehak Kumar"/>
    <n v="67"/>
    <x v="1"/>
    <x v="7"/>
    <x v="7"/>
    <d v="2025-05-24T00:00:00"/>
    <x v="6"/>
    <d v="2025-05-30T00:00:00"/>
    <n v="6"/>
    <n v="68658"/>
  </r>
  <r>
    <s v="P0759"/>
    <s v="Arjun Verma"/>
    <n v="57"/>
    <x v="0"/>
    <x v="1"/>
    <x v="4"/>
    <d v="2025-05-22T00:00:00"/>
    <x v="6"/>
    <d v="2025-06-03T00:00:00"/>
    <n v="12"/>
    <n v="129564"/>
  </r>
  <r>
    <s v="P0760"/>
    <s v="Imran Gupta"/>
    <n v="55"/>
    <x v="0"/>
    <x v="2"/>
    <x v="3"/>
    <d v="2025-04-19T00:00:00"/>
    <x v="5"/>
    <d v="2025-04-30T00:00:00"/>
    <n v="11"/>
    <n v="50919"/>
  </r>
  <r>
    <s v="P0761"/>
    <s v="Anita Singh"/>
    <n v="15"/>
    <x v="0"/>
    <x v="0"/>
    <x v="7"/>
    <d v="2025-10-05T00:00:00"/>
    <x v="11"/>
    <d v="2025-10-07T00:00:00"/>
    <n v="2"/>
    <n v="16648"/>
  </r>
  <r>
    <s v="P0762"/>
    <s v="Priya Sharma"/>
    <n v="26"/>
    <x v="0"/>
    <x v="3"/>
    <x v="3"/>
    <d v="2025-01-15T00:00:00"/>
    <x v="1"/>
    <d v="2025-01-18T00:00:00"/>
    <n v="3"/>
    <n v="20082"/>
  </r>
  <r>
    <s v="P0763"/>
    <s v="Arjun Rather"/>
    <n v="36"/>
    <x v="0"/>
    <x v="0"/>
    <x v="0"/>
    <d v="2025-11-27T00:00:00"/>
    <x v="9"/>
    <d v="2025-12-06T00:00:00"/>
    <n v="9"/>
    <n v="62343"/>
  </r>
  <r>
    <s v="P0764"/>
    <s v="Priya Ali"/>
    <n v="2"/>
    <x v="0"/>
    <x v="1"/>
    <x v="2"/>
    <d v="2025-06-13T00:00:00"/>
    <x v="7"/>
    <d v="2025-06-28T00:00:00"/>
    <n v="15"/>
    <n v="157440"/>
  </r>
  <r>
    <s v="P0765"/>
    <s v="Priya Gupta"/>
    <n v="43"/>
    <x v="0"/>
    <x v="2"/>
    <x v="3"/>
    <d v="2025-02-01T00:00:00"/>
    <x v="3"/>
    <d v="2025-02-10T00:00:00"/>
    <n v="9"/>
    <n v="99198"/>
  </r>
  <r>
    <s v="P0766"/>
    <s v="Kiran Rather"/>
    <n v="23"/>
    <x v="0"/>
    <x v="7"/>
    <x v="3"/>
    <d v="2025-11-28T00:00:00"/>
    <x v="9"/>
    <d v="2025-12-05T00:00:00"/>
    <n v="7"/>
    <n v="66528"/>
  </r>
  <r>
    <s v="P0767"/>
    <s v="Aman Verma"/>
    <n v="62"/>
    <x v="1"/>
    <x v="1"/>
    <x v="3"/>
    <d v="2025-12-31T00:00:00"/>
    <x v="0"/>
    <d v="2026-01-15T00:00:00"/>
    <n v="15"/>
    <n v="112320"/>
  </r>
  <r>
    <s v="P0768"/>
    <s v="Imran Khan"/>
    <n v="30"/>
    <x v="1"/>
    <x v="7"/>
    <x v="6"/>
    <d v="2025-01-24T00:00:00"/>
    <x v="1"/>
    <d v="2025-02-05T00:00:00"/>
    <n v="12"/>
    <n v="76164"/>
  </r>
  <r>
    <s v="P0769"/>
    <s v="Zara Kumar"/>
    <n v="46"/>
    <x v="1"/>
    <x v="3"/>
    <x v="6"/>
    <d v="2025-10-18T00:00:00"/>
    <x v="11"/>
    <d v="2025-10-23T00:00:00"/>
    <n v="5"/>
    <n v="55100"/>
  </r>
  <r>
    <s v="P0770"/>
    <s v="Anita Ali"/>
    <n v="59"/>
    <x v="1"/>
    <x v="0"/>
    <x v="4"/>
    <d v="2025-11-22T00:00:00"/>
    <x v="9"/>
    <d v="2025-11-25T00:00:00"/>
    <n v="3"/>
    <n v="31170"/>
  </r>
  <r>
    <s v="P0771"/>
    <s v="Priya Verma"/>
    <n v="5"/>
    <x v="1"/>
    <x v="6"/>
    <x v="7"/>
    <d v="2025-03-09T00:00:00"/>
    <x v="4"/>
    <d v="2025-03-10T00:00:00"/>
    <n v="1"/>
    <n v="11365"/>
  </r>
  <r>
    <s v="P0772"/>
    <s v="Mehak Verma"/>
    <n v="77"/>
    <x v="0"/>
    <x v="0"/>
    <x v="7"/>
    <d v="2025-03-05T00:00:00"/>
    <x v="4"/>
    <d v="2025-03-12T00:00:00"/>
    <n v="7"/>
    <n v="29302"/>
  </r>
  <r>
    <s v="P0773"/>
    <s v="Priya Malik"/>
    <n v="5"/>
    <x v="0"/>
    <x v="4"/>
    <x v="3"/>
    <d v="2025-08-21T00:00:00"/>
    <x v="8"/>
    <d v="2025-08-31T00:00:00"/>
    <n v="10"/>
    <n v="48850"/>
  </r>
  <r>
    <s v="P0774"/>
    <s v="Vikas Khan"/>
    <n v="30"/>
    <x v="0"/>
    <x v="1"/>
    <x v="6"/>
    <d v="2025-01-27T00:00:00"/>
    <x v="1"/>
    <d v="2025-02-03T00:00:00"/>
    <n v="7"/>
    <n v="77644"/>
  </r>
  <r>
    <s v="P0775"/>
    <s v="Mehak Khan"/>
    <n v="22"/>
    <x v="0"/>
    <x v="3"/>
    <x v="2"/>
    <d v="2025-02-07T00:00:00"/>
    <x v="3"/>
    <d v="2025-02-18T00:00:00"/>
    <n v="11"/>
    <n v="71753"/>
  </r>
  <r>
    <s v="P0776"/>
    <s v="Imran Verma"/>
    <n v="3"/>
    <x v="1"/>
    <x v="8"/>
    <x v="3"/>
    <d v="2025-09-24T00:00:00"/>
    <x v="2"/>
    <d v="2025-09-30T00:00:00"/>
    <n v="6"/>
    <n v="31056"/>
  </r>
  <r>
    <s v="P0777"/>
    <s v="Rohit Malik"/>
    <n v="47"/>
    <x v="1"/>
    <x v="0"/>
    <x v="4"/>
    <d v="2025-01-06T00:00:00"/>
    <x v="1"/>
    <d v="2025-01-09T00:00:00"/>
    <n v="3"/>
    <n v="17550"/>
  </r>
  <r>
    <s v="P0778"/>
    <s v="Kiran Gupta"/>
    <n v="14"/>
    <x v="0"/>
    <x v="3"/>
    <x v="3"/>
    <d v="2025-06-09T00:00:00"/>
    <x v="7"/>
    <d v="2025-06-13T00:00:00"/>
    <n v="4"/>
    <n v="43180"/>
  </r>
  <r>
    <s v="P0779"/>
    <s v="Kiran Ali"/>
    <n v="59"/>
    <x v="0"/>
    <x v="0"/>
    <x v="6"/>
    <d v="2025-04-08T00:00:00"/>
    <x v="5"/>
    <d v="2025-04-12T00:00:00"/>
    <n v="4"/>
    <n v="25212"/>
  </r>
  <r>
    <s v="P0780"/>
    <s v="Anita Khan"/>
    <n v="16"/>
    <x v="1"/>
    <x v="7"/>
    <x v="4"/>
    <d v="2025-10-08T00:00:00"/>
    <x v="11"/>
    <d v="2025-10-21T00:00:00"/>
    <n v="13"/>
    <n v="150943"/>
  </r>
  <r>
    <s v="P0781"/>
    <s v="Rohit Ali"/>
    <n v="18"/>
    <x v="0"/>
    <x v="0"/>
    <x v="4"/>
    <d v="2025-08-27T00:00:00"/>
    <x v="8"/>
    <d v="2025-09-03T00:00:00"/>
    <n v="7"/>
    <n v="54180"/>
  </r>
  <r>
    <s v="P0782"/>
    <s v="Neha Malik"/>
    <n v="45"/>
    <x v="0"/>
    <x v="4"/>
    <x v="3"/>
    <d v="2025-12-11T00:00:00"/>
    <x v="0"/>
    <d v="2025-12-25T00:00:00"/>
    <n v="14"/>
    <n v="60494"/>
  </r>
  <r>
    <s v="P0783"/>
    <s v="Rohit Rather"/>
    <n v="41"/>
    <x v="0"/>
    <x v="0"/>
    <x v="3"/>
    <d v="2025-06-20T00:00:00"/>
    <x v="7"/>
    <d v="2025-07-03T00:00:00"/>
    <n v="13"/>
    <n v="67041"/>
  </r>
  <r>
    <s v="P0784"/>
    <s v="Imran Khan"/>
    <n v="24"/>
    <x v="1"/>
    <x v="4"/>
    <x v="5"/>
    <d v="2025-12-22T00:00:00"/>
    <x v="0"/>
    <d v="2025-12-27T00:00:00"/>
    <n v="5"/>
    <n v="43265"/>
  </r>
  <r>
    <s v="P0785"/>
    <s v="Pooja Gupta"/>
    <n v="35"/>
    <x v="1"/>
    <x v="0"/>
    <x v="7"/>
    <d v="2025-08-01T00:00:00"/>
    <x v="8"/>
    <d v="2025-08-05T00:00:00"/>
    <n v="4"/>
    <n v="46228"/>
  </r>
  <r>
    <s v="P0786"/>
    <s v="Imran Gupta"/>
    <n v="83"/>
    <x v="1"/>
    <x v="3"/>
    <x v="5"/>
    <d v="2025-06-17T00:00:00"/>
    <x v="7"/>
    <d v="2025-06-25T00:00:00"/>
    <n v="8"/>
    <n v="94344"/>
  </r>
  <r>
    <s v="P0787"/>
    <s v="Rohit Gupta"/>
    <n v="58"/>
    <x v="1"/>
    <x v="0"/>
    <x v="7"/>
    <d v="2025-12-10T00:00:00"/>
    <x v="0"/>
    <d v="2025-12-15T00:00:00"/>
    <n v="5"/>
    <n v="31880"/>
  </r>
  <r>
    <s v="P0788"/>
    <s v="Mehak Rather"/>
    <n v="47"/>
    <x v="0"/>
    <x v="8"/>
    <x v="6"/>
    <d v="2025-12-11T00:00:00"/>
    <x v="0"/>
    <d v="2025-12-19T00:00:00"/>
    <n v="8"/>
    <n v="62712"/>
  </r>
  <r>
    <s v="P0789"/>
    <s v="Sara Gupta"/>
    <n v="20"/>
    <x v="0"/>
    <x v="6"/>
    <x v="6"/>
    <d v="2025-03-15T00:00:00"/>
    <x v="4"/>
    <d v="2025-03-29T00:00:00"/>
    <n v="14"/>
    <n v="58562"/>
  </r>
  <r>
    <s v="P0790"/>
    <s v="Adil Malik"/>
    <n v="46"/>
    <x v="1"/>
    <x v="5"/>
    <x v="5"/>
    <d v="2025-12-07T00:00:00"/>
    <x v="0"/>
    <d v="2025-12-12T00:00:00"/>
    <n v="5"/>
    <n v="49595"/>
  </r>
  <r>
    <s v="P0791"/>
    <s v="Kiran Khan"/>
    <n v="33"/>
    <x v="0"/>
    <x v="2"/>
    <x v="6"/>
    <d v="2025-01-29T00:00:00"/>
    <x v="1"/>
    <d v="2025-02-09T00:00:00"/>
    <n v="11"/>
    <n v="44484"/>
  </r>
  <r>
    <s v="P0792"/>
    <s v="Arjun Verma"/>
    <n v="1"/>
    <x v="0"/>
    <x v="9"/>
    <x v="6"/>
    <d v="2025-07-04T00:00:00"/>
    <x v="10"/>
    <d v="2025-07-10T00:00:00"/>
    <n v="6"/>
    <n v="44532"/>
  </r>
  <r>
    <s v="P0793"/>
    <s v="Mehak Sharma"/>
    <n v="6"/>
    <x v="0"/>
    <x v="1"/>
    <x v="7"/>
    <d v="2025-12-22T00:00:00"/>
    <x v="0"/>
    <d v="2025-12-23T00:00:00"/>
    <n v="1"/>
    <n v="5316"/>
  </r>
  <r>
    <s v="P0794"/>
    <s v="Aman Sharma"/>
    <n v="15"/>
    <x v="0"/>
    <x v="3"/>
    <x v="3"/>
    <d v="2025-08-22T00:00:00"/>
    <x v="8"/>
    <d v="2025-08-26T00:00:00"/>
    <n v="4"/>
    <n v="37256"/>
  </r>
  <r>
    <s v="P0795"/>
    <s v="Sara Malik"/>
    <n v="51"/>
    <x v="1"/>
    <x v="9"/>
    <x v="4"/>
    <d v="2025-10-03T00:00:00"/>
    <x v="11"/>
    <d v="2025-10-09T00:00:00"/>
    <n v="6"/>
    <n v="65058"/>
  </r>
  <r>
    <s v="P0796"/>
    <s v="Arjun Khan"/>
    <n v="26"/>
    <x v="1"/>
    <x v="0"/>
    <x v="4"/>
    <d v="2025-04-11T00:00:00"/>
    <x v="5"/>
    <d v="2025-04-18T00:00:00"/>
    <n v="7"/>
    <n v="39480"/>
  </r>
  <r>
    <s v="P0797"/>
    <s v="Pooja Verma"/>
    <n v="49"/>
    <x v="0"/>
    <x v="9"/>
    <x v="1"/>
    <d v="2025-10-04T00:00:00"/>
    <x v="11"/>
    <d v="2025-10-16T00:00:00"/>
    <n v="12"/>
    <n v="63372"/>
  </r>
  <r>
    <s v="P0798"/>
    <s v="Rahul Malik"/>
    <n v="88"/>
    <x v="0"/>
    <x v="9"/>
    <x v="2"/>
    <d v="2025-08-18T00:00:00"/>
    <x v="8"/>
    <d v="2025-08-24T00:00:00"/>
    <n v="6"/>
    <n v="35850"/>
  </r>
  <r>
    <s v="P0799"/>
    <s v="Adil Verma"/>
    <n v="90"/>
    <x v="0"/>
    <x v="7"/>
    <x v="2"/>
    <d v="2025-05-20T00:00:00"/>
    <x v="6"/>
    <d v="2025-05-21T00:00:00"/>
    <n v="1"/>
    <n v="6887"/>
  </r>
  <r>
    <s v="P0800"/>
    <s v="Adil Rather"/>
    <n v="35"/>
    <x v="0"/>
    <x v="8"/>
    <x v="7"/>
    <d v="2025-06-17T00:00:00"/>
    <x v="7"/>
    <d v="2025-06-28T00:00:00"/>
    <n v="11"/>
    <n v="59686"/>
  </r>
  <r>
    <s v="P0801"/>
    <s v="Arjun Khan"/>
    <n v="72"/>
    <x v="0"/>
    <x v="5"/>
    <x v="2"/>
    <d v="2025-12-30T00:00:00"/>
    <x v="0"/>
    <d v="2026-01-10T00:00:00"/>
    <n v="11"/>
    <n v="112112"/>
  </r>
  <r>
    <s v="P0802"/>
    <s v="Rohit Verma"/>
    <n v="67"/>
    <x v="0"/>
    <x v="0"/>
    <x v="7"/>
    <d v="2025-02-04T00:00:00"/>
    <x v="3"/>
    <d v="2025-02-06T00:00:00"/>
    <n v="2"/>
    <n v="18978"/>
  </r>
  <r>
    <s v="P0803"/>
    <s v="Vikas Kapoor"/>
    <n v="78"/>
    <x v="0"/>
    <x v="3"/>
    <x v="0"/>
    <d v="2025-07-12T00:00:00"/>
    <x v="10"/>
    <d v="2025-07-22T00:00:00"/>
    <n v="10"/>
    <n v="111170"/>
  </r>
  <r>
    <s v="P0804"/>
    <s v="Neha Ali"/>
    <n v="67"/>
    <x v="1"/>
    <x v="6"/>
    <x v="2"/>
    <d v="2025-08-06T00:00:00"/>
    <x v="8"/>
    <d v="2025-08-18T00:00:00"/>
    <n v="12"/>
    <n v="98232"/>
  </r>
  <r>
    <s v="P0805"/>
    <s v="Aman Malik"/>
    <n v="25"/>
    <x v="0"/>
    <x v="1"/>
    <x v="1"/>
    <d v="2025-10-11T00:00:00"/>
    <x v="11"/>
    <d v="2025-10-24T00:00:00"/>
    <n v="13"/>
    <n v="144612"/>
  </r>
  <r>
    <s v="P0806"/>
    <s v="Rohit Malik"/>
    <n v="17"/>
    <x v="1"/>
    <x v="3"/>
    <x v="6"/>
    <d v="2025-01-27T00:00:00"/>
    <x v="1"/>
    <d v="2025-01-29T00:00:00"/>
    <n v="2"/>
    <n v="23010"/>
  </r>
  <r>
    <s v="P0807"/>
    <s v="Neha Malik"/>
    <n v="19"/>
    <x v="1"/>
    <x v="5"/>
    <x v="7"/>
    <d v="2025-08-07T00:00:00"/>
    <x v="8"/>
    <d v="2025-08-09T00:00:00"/>
    <n v="2"/>
    <n v="19128"/>
  </r>
  <r>
    <s v="P0808"/>
    <s v="Mehak Ali"/>
    <n v="4"/>
    <x v="0"/>
    <x v="4"/>
    <x v="0"/>
    <d v="2025-05-30T00:00:00"/>
    <x v="6"/>
    <d v="2025-06-14T00:00:00"/>
    <n v="15"/>
    <n v="122370"/>
  </r>
  <r>
    <s v="P0809"/>
    <s v="Aman Kapoor"/>
    <n v="64"/>
    <x v="0"/>
    <x v="1"/>
    <x v="5"/>
    <d v="2025-03-26T00:00:00"/>
    <x v="4"/>
    <d v="2025-03-30T00:00:00"/>
    <n v="4"/>
    <n v="40596"/>
  </r>
  <r>
    <s v="P0810"/>
    <s v="Pooja Sharma"/>
    <n v="40"/>
    <x v="1"/>
    <x v="2"/>
    <x v="3"/>
    <d v="2025-11-03T00:00:00"/>
    <x v="9"/>
    <d v="2025-11-06T00:00:00"/>
    <n v="3"/>
    <n v="33441"/>
  </r>
  <r>
    <s v="P0811"/>
    <s v="Rohit Khan"/>
    <n v="76"/>
    <x v="0"/>
    <x v="3"/>
    <x v="7"/>
    <d v="2025-04-11T00:00:00"/>
    <x v="5"/>
    <d v="2025-04-15T00:00:00"/>
    <n v="4"/>
    <n v="40644"/>
  </r>
  <r>
    <s v="P0812"/>
    <s v="Mehak Sharma"/>
    <n v="3"/>
    <x v="0"/>
    <x v="4"/>
    <x v="7"/>
    <d v="2025-07-19T00:00:00"/>
    <x v="10"/>
    <d v="2025-07-26T00:00:00"/>
    <n v="7"/>
    <n v="32305"/>
  </r>
  <r>
    <s v="P0813"/>
    <s v="Arjun Khan"/>
    <n v="43"/>
    <x v="0"/>
    <x v="9"/>
    <x v="6"/>
    <d v="2025-04-03T00:00:00"/>
    <x v="5"/>
    <d v="2025-04-12T00:00:00"/>
    <n v="9"/>
    <n v="104328"/>
  </r>
  <r>
    <s v="P0814"/>
    <s v="Mehak Ali"/>
    <n v="19"/>
    <x v="1"/>
    <x v="3"/>
    <x v="2"/>
    <d v="2025-02-10T00:00:00"/>
    <x v="3"/>
    <d v="2025-02-17T00:00:00"/>
    <n v="7"/>
    <n v="55062"/>
  </r>
  <r>
    <s v="P0815"/>
    <s v="Priya Kumar"/>
    <n v="50"/>
    <x v="1"/>
    <x v="2"/>
    <x v="3"/>
    <d v="2025-11-29T00:00:00"/>
    <x v="9"/>
    <d v="2025-12-12T00:00:00"/>
    <n v="13"/>
    <n v="62569"/>
  </r>
  <r>
    <s v="P0816"/>
    <s v="Zara Gupta"/>
    <n v="53"/>
    <x v="1"/>
    <x v="3"/>
    <x v="5"/>
    <d v="2025-01-19T00:00:00"/>
    <x v="1"/>
    <d v="2025-01-31T00:00:00"/>
    <n v="12"/>
    <n v="116772"/>
  </r>
  <r>
    <s v="P0817"/>
    <s v="Priya Singh"/>
    <n v="39"/>
    <x v="0"/>
    <x v="0"/>
    <x v="3"/>
    <d v="2025-09-06T00:00:00"/>
    <x v="2"/>
    <d v="2025-09-11T00:00:00"/>
    <n v="5"/>
    <n v="26745"/>
  </r>
  <r>
    <s v="P0818"/>
    <s v="Zara Kumar"/>
    <n v="20"/>
    <x v="0"/>
    <x v="0"/>
    <x v="3"/>
    <d v="2025-02-21T00:00:00"/>
    <x v="3"/>
    <d v="2025-02-28T00:00:00"/>
    <n v="7"/>
    <n v="38738"/>
  </r>
  <r>
    <s v="P0819"/>
    <s v="Vikas Verma"/>
    <n v="86"/>
    <x v="1"/>
    <x v="5"/>
    <x v="0"/>
    <d v="2025-09-23T00:00:00"/>
    <x v="2"/>
    <d v="2025-09-24T00:00:00"/>
    <n v="1"/>
    <n v="4917"/>
  </r>
  <r>
    <s v="P0820"/>
    <s v="Adil Verma"/>
    <n v="33"/>
    <x v="0"/>
    <x v="5"/>
    <x v="4"/>
    <d v="2025-11-29T00:00:00"/>
    <x v="9"/>
    <d v="2025-12-14T00:00:00"/>
    <n v="15"/>
    <n v="86550"/>
  </r>
  <r>
    <s v="P0821"/>
    <s v="Kiran Ali"/>
    <n v="78"/>
    <x v="1"/>
    <x v="1"/>
    <x v="0"/>
    <d v="2025-02-12T00:00:00"/>
    <x v="3"/>
    <d v="2025-02-22T00:00:00"/>
    <n v="10"/>
    <n v="40790"/>
  </r>
  <r>
    <s v="P0822"/>
    <s v="Pooja Singh"/>
    <n v="5"/>
    <x v="1"/>
    <x v="6"/>
    <x v="6"/>
    <d v="2025-09-09T00:00:00"/>
    <x v="2"/>
    <d v="2025-09-14T00:00:00"/>
    <n v="5"/>
    <n v="36245"/>
  </r>
  <r>
    <s v="P0823"/>
    <s v="Zara Ali"/>
    <n v="2"/>
    <x v="0"/>
    <x v="4"/>
    <x v="3"/>
    <d v="2025-02-19T00:00:00"/>
    <x v="3"/>
    <d v="2025-02-27T00:00:00"/>
    <n v="8"/>
    <n v="82880"/>
  </r>
  <r>
    <s v="P0824"/>
    <s v="Rohit Ali"/>
    <n v="84"/>
    <x v="1"/>
    <x v="6"/>
    <x v="6"/>
    <d v="2025-04-14T00:00:00"/>
    <x v="5"/>
    <d v="2025-04-28T00:00:00"/>
    <n v="14"/>
    <n v="103502"/>
  </r>
  <r>
    <s v="P0825"/>
    <s v="Pooja Ali"/>
    <n v="27"/>
    <x v="1"/>
    <x v="1"/>
    <x v="0"/>
    <d v="2025-05-30T00:00:00"/>
    <x v="6"/>
    <d v="2025-06-14T00:00:00"/>
    <n v="15"/>
    <n v="105075"/>
  </r>
  <r>
    <s v="P0826"/>
    <s v="Vikas Singh"/>
    <n v="11"/>
    <x v="1"/>
    <x v="2"/>
    <x v="0"/>
    <d v="2025-11-25T00:00:00"/>
    <x v="9"/>
    <d v="2025-12-10T00:00:00"/>
    <n v="15"/>
    <n v="142875"/>
  </r>
  <r>
    <s v="P0827"/>
    <s v="Vikas Gupta"/>
    <n v="3"/>
    <x v="1"/>
    <x v="5"/>
    <x v="5"/>
    <d v="2025-10-10T00:00:00"/>
    <x v="11"/>
    <d v="2025-10-21T00:00:00"/>
    <n v="11"/>
    <n v="51854"/>
  </r>
  <r>
    <s v="P0828"/>
    <s v="Vikas Singh"/>
    <n v="80"/>
    <x v="1"/>
    <x v="1"/>
    <x v="1"/>
    <d v="2025-03-15T00:00:00"/>
    <x v="4"/>
    <d v="2025-03-24T00:00:00"/>
    <n v="9"/>
    <n v="101448"/>
  </r>
  <r>
    <s v="P0829"/>
    <s v="Arjun Khan"/>
    <n v="50"/>
    <x v="0"/>
    <x v="9"/>
    <x v="1"/>
    <d v="2025-05-07T00:00:00"/>
    <x v="6"/>
    <d v="2025-05-16T00:00:00"/>
    <n v="9"/>
    <n v="89802"/>
  </r>
  <r>
    <s v="P0830"/>
    <s v="Sara Rather"/>
    <n v="13"/>
    <x v="1"/>
    <x v="0"/>
    <x v="2"/>
    <d v="2025-10-21T00:00:00"/>
    <x v="11"/>
    <d v="2025-11-05T00:00:00"/>
    <n v="15"/>
    <n v="123870"/>
  </r>
  <r>
    <s v="P0831"/>
    <s v="Zara Ali"/>
    <n v="88"/>
    <x v="0"/>
    <x v="3"/>
    <x v="5"/>
    <d v="2025-03-23T00:00:00"/>
    <x v="4"/>
    <d v="2025-03-26T00:00:00"/>
    <n v="3"/>
    <n v="26916"/>
  </r>
  <r>
    <s v="P0832"/>
    <s v="Aman Singh"/>
    <n v="16"/>
    <x v="1"/>
    <x v="8"/>
    <x v="4"/>
    <d v="2025-12-25T00:00:00"/>
    <x v="0"/>
    <d v="2026-01-01T00:00:00"/>
    <n v="7"/>
    <n v="40978"/>
  </r>
  <r>
    <s v="P0833"/>
    <s v="Rohit Ali"/>
    <n v="15"/>
    <x v="1"/>
    <x v="6"/>
    <x v="3"/>
    <d v="2025-03-06T00:00:00"/>
    <x v="4"/>
    <d v="2025-03-09T00:00:00"/>
    <n v="3"/>
    <n v="15237"/>
  </r>
  <r>
    <s v="P0834"/>
    <s v="Pooja Khan"/>
    <n v="9"/>
    <x v="0"/>
    <x v="5"/>
    <x v="4"/>
    <d v="2025-06-04T00:00:00"/>
    <x v="7"/>
    <d v="2025-06-06T00:00:00"/>
    <n v="2"/>
    <n v="17788"/>
  </r>
  <r>
    <s v="P0835"/>
    <s v="Aman Sharma"/>
    <n v="65"/>
    <x v="1"/>
    <x v="2"/>
    <x v="2"/>
    <d v="2025-08-23T00:00:00"/>
    <x v="8"/>
    <d v="2025-09-01T00:00:00"/>
    <n v="9"/>
    <n v="97650"/>
  </r>
  <r>
    <s v="P0836"/>
    <s v="Neha Kapoor"/>
    <n v="58"/>
    <x v="1"/>
    <x v="2"/>
    <x v="5"/>
    <d v="2025-04-08T00:00:00"/>
    <x v="5"/>
    <d v="2025-04-22T00:00:00"/>
    <n v="14"/>
    <n v="79352"/>
  </r>
  <r>
    <s v="P0837"/>
    <s v="Vikas Kapoor"/>
    <n v="82"/>
    <x v="1"/>
    <x v="2"/>
    <x v="7"/>
    <d v="2025-04-04T00:00:00"/>
    <x v="5"/>
    <d v="2025-04-12T00:00:00"/>
    <n v="8"/>
    <n v="46616"/>
  </r>
  <r>
    <s v="P0838"/>
    <s v="Imran Kumar"/>
    <n v="68"/>
    <x v="1"/>
    <x v="7"/>
    <x v="1"/>
    <d v="2025-11-22T00:00:00"/>
    <x v="9"/>
    <d v="2025-12-04T00:00:00"/>
    <n v="12"/>
    <n v="86508"/>
  </r>
  <r>
    <s v="P0839"/>
    <s v="Arjun Singh"/>
    <n v="22"/>
    <x v="0"/>
    <x v="2"/>
    <x v="1"/>
    <d v="2025-03-19T00:00:00"/>
    <x v="4"/>
    <d v="2025-04-03T00:00:00"/>
    <n v="15"/>
    <n v="80880"/>
  </r>
  <r>
    <s v="P0840"/>
    <s v="Vikas Sharma"/>
    <n v="76"/>
    <x v="1"/>
    <x v="3"/>
    <x v="6"/>
    <d v="2025-03-15T00:00:00"/>
    <x v="4"/>
    <d v="2025-03-24T00:00:00"/>
    <n v="9"/>
    <n v="57294"/>
  </r>
  <r>
    <s v="P0841"/>
    <s v="Anita Gupta"/>
    <n v="85"/>
    <x v="0"/>
    <x v="7"/>
    <x v="0"/>
    <d v="2025-12-13T00:00:00"/>
    <x v="0"/>
    <d v="2025-12-14T00:00:00"/>
    <n v="1"/>
    <n v="10835"/>
  </r>
  <r>
    <s v="P0842"/>
    <s v="Mehak Kapoor"/>
    <n v="54"/>
    <x v="0"/>
    <x v="6"/>
    <x v="1"/>
    <d v="2025-11-16T00:00:00"/>
    <x v="9"/>
    <d v="2025-11-20T00:00:00"/>
    <n v="4"/>
    <n v="22432"/>
  </r>
  <r>
    <s v="P0843"/>
    <s v="Imran Singh"/>
    <n v="22"/>
    <x v="1"/>
    <x v="4"/>
    <x v="2"/>
    <d v="2025-07-04T00:00:00"/>
    <x v="10"/>
    <d v="2025-07-12T00:00:00"/>
    <n v="8"/>
    <n v="59424"/>
  </r>
  <r>
    <s v="P0844"/>
    <s v="Sara Khan"/>
    <n v="31"/>
    <x v="1"/>
    <x v="7"/>
    <x v="2"/>
    <d v="2025-09-25T00:00:00"/>
    <x v="2"/>
    <d v="2025-10-03T00:00:00"/>
    <n v="8"/>
    <n v="82504"/>
  </r>
  <r>
    <s v="P0845"/>
    <s v="Adil Ali"/>
    <n v="44"/>
    <x v="0"/>
    <x v="7"/>
    <x v="6"/>
    <d v="2025-11-12T00:00:00"/>
    <x v="9"/>
    <d v="2025-11-14T00:00:00"/>
    <n v="2"/>
    <n v="13052"/>
  </r>
  <r>
    <s v="P0846"/>
    <s v="Rahul Rather"/>
    <n v="84"/>
    <x v="1"/>
    <x v="8"/>
    <x v="5"/>
    <d v="2025-07-31T00:00:00"/>
    <x v="10"/>
    <d v="2025-08-08T00:00:00"/>
    <n v="8"/>
    <n v="86608"/>
  </r>
  <r>
    <s v="P0847"/>
    <s v="Zara Rather"/>
    <n v="74"/>
    <x v="1"/>
    <x v="8"/>
    <x v="7"/>
    <d v="2025-07-24T00:00:00"/>
    <x v="10"/>
    <d v="2025-08-07T00:00:00"/>
    <n v="14"/>
    <n v="139188"/>
  </r>
  <r>
    <s v="P0848"/>
    <s v="Priya Rather"/>
    <n v="59"/>
    <x v="0"/>
    <x v="2"/>
    <x v="3"/>
    <d v="2025-11-18T00:00:00"/>
    <x v="9"/>
    <d v="2025-11-29T00:00:00"/>
    <n v="11"/>
    <n v="51777"/>
  </r>
  <r>
    <s v="P0849"/>
    <s v="Mehak Kumar"/>
    <n v="27"/>
    <x v="0"/>
    <x v="2"/>
    <x v="3"/>
    <d v="2025-06-01T00:00:00"/>
    <x v="7"/>
    <d v="2025-06-08T00:00:00"/>
    <n v="7"/>
    <n v="60368"/>
  </r>
  <r>
    <s v="P0850"/>
    <s v="Imran Gupta"/>
    <n v="88"/>
    <x v="0"/>
    <x v="5"/>
    <x v="6"/>
    <d v="2025-05-31T00:00:00"/>
    <x v="6"/>
    <d v="2025-06-12T00:00:00"/>
    <n v="12"/>
    <n v="53004"/>
  </r>
  <r>
    <s v="P0851"/>
    <s v="Priya Khan"/>
    <n v="54"/>
    <x v="0"/>
    <x v="3"/>
    <x v="3"/>
    <d v="2025-01-16T00:00:00"/>
    <x v="1"/>
    <d v="2025-01-18T00:00:00"/>
    <n v="2"/>
    <n v="12604"/>
  </r>
  <r>
    <s v="P0852"/>
    <s v="Vikas Kapoor"/>
    <n v="14"/>
    <x v="1"/>
    <x v="4"/>
    <x v="6"/>
    <d v="2025-02-04T00:00:00"/>
    <x v="3"/>
    <d v="2025-02-14T00:00:00"/>
    <n v="10"/>
    <n v="71500"/>
  </r>
  <r>
    <s v="P0853"/>
    <s v="Rohit Ali"/>
    <n v="68"/>
    <x v="1"/>
    <x v="4"/>
    <x v="5"/>
    <d v="2025-05-21T00:00:00"/>
    <x v="6"/>
    <d v="2025-05-27T00:00:00"/>
    <n v="6"/>
    <n v="46854"/>
  </r>
  <r>
    <s v="P0854"/>
    <s v="Mehak Singh"/>
    <n v="6"/>
    <x v="1"/>
    <x v="9"/>
    <x v="6"/>
    <d v="2025-05-24T00:00:00"/>
    <x v="6"/>
    <d v="2025-05-28T00:00:00"/>
    <n v="4"/>
    <n v="19852"/>
  </r>
  <r>
    <s v="P0855"/>
    <s v="Rahul Gupta"/>
    <n v="5"/>
    <x v="0"/>
    <x v="4"/>
    <x v="4"/>
    <d v="2025-09-09T00:00:00"/>
    <x v="2"/>
    <d v="2025-09-17T00:00:00"/>
    <n v="8"/>
    <n v="51592"/>
  </r>
  <r>
    <s v="P0856"/>
    <s v="Priya Kapoor"/>
    <n v="31"/>
    <x v="0"/>
    <x v="3"/>
    <x v="6"/>
    <d v="2025-01-05T00:00:00"/>
    <x v="1"/>
    <d v="2025-01-14T00:00:00"/>
    <n v="9"/>
    <n v="48186"/>
  </r>
  <r>
    <s v="P0857"/>
    <s v="Neha Sharma"/>
    <n v="58"/>
    <x v="0"/>
    <x v="8"/>
    <x v="7"/>
    <d v="2025-11-01T00:00:00"/>
    <x v="9"/>
    <d v="2025-11-04T00:00:00"/>
    <n v="3"/>
    <n v="23580"/>
  </r>
  <r>
    <s v="P0858"/>
    <s v="Rahul Ali"/>
    <n v="10"/>
    <x v="0"/>
    <x v="9"/>
    <x v="7"/>
    <d v="2025-07-14T00:00:00"/>
    <x v="10"/>
    <d v="2025-07-16T00:00:00"/>
    <n v="2"/>
    <n v="11326"/>
  </r>
  <r>
    <s v="P0859"/>
    <s v="Adil Rather"/>
    <n v="33"/>
    <x v="0"/>
    <x v="8"/>
    <x v="1"/>
    <d v="2025-11-26T00:00:00"/>
    <x v="9"/>
    <d v="2025-12-09T00:00:00"/>
    <n v="13"/>
    <n v="145535"/>
  </r>
  <r>
    <s v="P0860"/>
    <s v="Sara Malik"/>
    <n v="72"/>
    <x v="1"/>
    <x v="3"/>
    <x v="4"/>
    <d v="2025-08-29T00:00:00"/>
    <x v="8"/>
    <d v="2025-09-03T00:00:00"/>
    <n v="5"/>
    <n v="20170"/>
  </r>
  <r>
    <s v="P0861"/>
    <s v="Aman Kumar"/>
    <n v="41"/>
    <x v="0"/>
    <x v="7"/>
    <x v="7"/>
    <d v="2025-08-06T00:00:00"/>
    <x v="8"/>
    <d v="2025-08-12T00:00:00"/>
    <n v="6"/>
    <n v="46104"/>
  </r>
  <r>
    <s v="P0862"/>
    <s v="Aman Khan"/>
    <n v="41"/>
    <x v="0"/>
    <x v="3"/>
    <x v="5"/>
    <d v="2025-03-11T00:00:00"/>
    <x v="4"/>
    <d v="2025-03-20T00:00:00"/>
    <n v="9"/>
    <n v="66042"/>
  </r>
  <r>
    <s v="P0863"/>
    <s v="Imran Kapoor"/>
    <n v="39"/>
    <x v="1"/>
    <x v="8"/>
    <x v="4"/>
    <d v="2025-02-26T00:00:00"/>
    <x v="3"/>
    <d v="2025-03-05T00:00:00"/>
    <n v="7"/>
    <n v="80283"/>
  </r>
  <r>
    <s v="P0864"/>
    <s v="Neha Rather"/>
    <n v="74"/>
    <x v="0"/>
    <x v="0"/>
    <x v="7"/>
    <d v="2025-12-31T00:00:00"/>
    <x v="0"/>
    <d v="2026-01-03T00:00:00"/>
    <n v="3"/>
    <n v="12231"/>
  </r>
  <r>
    <s v="P0865"/>
    <s v="Mehak Sharma"/>
    <n v="90"/>
    <x v="1"/>
    <x v="5"/>
    <x v="7"/>
    <d v="2025-03-12T00:00:00"/>
    <x v="4"/>
    <d v="2025-03-26T00:00:00"/>
    <n v="14"/>
    <n v="69076"/>
  </r>
  <r>
    <s v="P0866"/>
    <s v="Priya Khan"/>
    <n v="18"/>
    <x v="0"/>
    <x v="3"/>
    <x v="0"/>
    <d v="2025-03-27T00:00:00"/>
    <x v="4"/>
    <d v="2025-04-04T00:00:00"/>
    <n v="8"/>
    <n v="39544"/>
  </r>
  <r>
    <s v="P0867"/>
    <s v="Adil Gupta"/>
    <n v="36"/>
    <x v="0"/>
    <x v="1"/>
    <x v="1"/>
    <d v="2025-02-11T00:00:00"/>
    <x v="3"/>
    <d v="2025-02-14T00:00:00"/>
    <n v="3"/>
    <n v="18330"/>
  </r>
  <r>
    <s v="P0868"/>
    <s v="Priya Gupta"/>
    <n v="31"/>
    <x v="0"/>
    <x v="5"/>
    <x v="2"/>
    <d v="2025-01-16T00:00:00"/>
    <x v="1"/>
    <d v="2025-01-29T00:00:00"/>
    <n v="13"/>
    <n v="79846"/>
  </r>
  <r>
    <s v="P0869"/>
    <s v="Rohit Malik"/>
    <n v="4"/>
    <x v="0"/>
    <x v="5"/>
    <x v="3"/>
    <d v="2025-04-08T00:00:00"/>
    <x v="5"/>
    <d v="2025-04-11T00:00:00"/>
    <n v="3"/>
    <n v="19236"/>
  </r>
  <r>
    <s v="P0870"/>
    <s v="Aman Gupta"/>
    <n v="28"/>
    <x v="0"/>
    <x v="1"/>
    <x v="5"/>
    <d v="2025-02-07T00:00:00"/>
    <x v="3"/>
    <d v="2025-02-17T00:00:00"/>
    <n v="10"/>
    <n v="57630"/>
  </r>
  <r>
    <s v="P0871"/>
    <s v="Imran Sharma"/>
    <n v="17"/>
    <x v="0"/>
    <x v="1"/>
    <x v="2"/>
    <d v="2025-03-27T00:00:00"/>
    <x v="4"/>
    <d v="2025-04-08T00:00:00"/>
    <n v="12"/>
    <n v="49452"/>
  </r>
  <r>
    <s v="P0872"/>
    <s v="Neha Gupta"/>
    <n v="15"/>
    <x v="0"/>
    <x v="3"/>
    <x v="6"/>
    <d v="2025-05-12T00:00:00"/>
    <x v="6"/>
    <d v="2025-05-17T00:00:00"/>
    <n v="5"/>
    <n v="31740"/>
  </r>
  <r>
    <s v="P0873"/>
    <s v="Anita Kapoor"/>
    <n v="46"/>
    <x v="1"/>
    <x v="5"/>
    <x v="2"/>
    <d v="2025-10-29T00:00:00"/>
    <x v="11"/>
    <d v="2025-11-10T00:00:00"/>
    <n v="12"/>
    <n v="142776"/>
  </r>
  <r>
    <s v="P0874"/>
    <s v="Anita Verma"/>
    <n v="14"/>
    <x v="0"/>
    <x v="2"/>
    <x v="0"/>
    <d v="2025-03-25T00:00:00"/>
    <x v="4"/>
    <d v="2025-03-29T00:00:00"/>
    <n v="4"/>
    <n v="37524"/>
  </r>
  <r>
    <s v="P0875"/>
    <s v="Sara Rather"/>
    <n v="44"/>
    <x v="0"/>
    <x v="0"/>
    <x v="3"/>
    <d v="2025-07-14T00:00:00"/>
    <x v="10"/>
    <d v="2025-07-26T00:00:00"/>
    <n v="12"/>
    <n v="107220"/>
  </r>
  <r>
    <s v="P0876"/>
    <s v="Pooja Kumar"/>
    <n v="40"/>
    <x v="1"/>
    <x v="1"/>
    <x v="4"/>
    <d v="2025-12-28T00:00:00"/>
    <x v="0"/>
    <d v="2026-01-06T00:00:00"/>
    <n v="9"/>
    <n v="86904"/>
  </r>
  <r>
    <s v="P0877"/>
    <s v="Pooja Malik"/>
    <n v="14"/>
    <x v="1"/>
    <x v="5"/>
    <x v="5"/>
    <d v="2025-02-08T00:00:00"/>
    <x v="3"/>
    <d v="2025-02-14T00:00:00"/>
    <n v="6"/>
    <n v="32190"/>
  </r>
  <r>
    <s v="P0878"/>
    <s v="Rohit Sharma"/>
    <n v="45"/>
    <x v="0"/>
    <x v="2"/>
    <x v="5"/>
    <d v="2025-08-21T00:00:00"/>
    <x v="8"/>
    <d v="2025-08-24T00:00:00"/>
    <n v="3"/>
    <n v="21720"/>
  </r>
  <r>
    <s v="P0879"/>
    <s v="Vikas Kumar"/>
    <n v="73"/>
    <x v="1"/>
    <x v="8"/>
    <x v="0"/>
    <d v="2025-02-15T00:00:00"/>
    <x v="3"/>
    <d v="2025-02-20T00:00:00"/>
    <n v="5"/>
    <n v="41505"/>
  </r>
  <r>
    <s v="P0880"/>
    <s v="Kiran Singh"/>
    <n v="23"/>
    <x v="0"/>
    <x v="6"/>
    <x v="3"/>
    <d v="2025-02-18T00:00:00"/>
    <x v="3"/>
    <d v="2025-02-19T00:00:00"/>
    <n v="1"/>
    <n v="11113"/>
  </r>
  <r>
    <s v="P0881"/>
    <s v="Arjun Khan"/>
    <n v="38"/>
    <x v="1"/>
    <x v="4"/>
    <x v="3"/>
    <d v="2025-06-26T00:00:00"/>
    <x v="7"/>
    <d v="2025-07-07T00:00:00"/>
    <n v="11"/>
    <n v="116336"/>
  </r>
  <r>
    <s v="P0882"/>
    <s v="Sara Khan"/>
    <n v="8"/>
    <x v="0"/>
    <x v="8"/>
    <x v="5"/>
    <d v="2025-01-09T00:00:00"/>
    <x v="1"/>
    <d v="2025-01-13T00:00:00"/>
    <n v="4"/>
    <n v="29236"/>
  </r>
  <r>
    <s v="P0883"/>
    <s v="Vikas Kapoor"/>
    <n v="80"/>
    <x v="0"/>
    <x v="2"/>
    <x v="2"/>
    <d v="2025-12-13T00:00:00"/>
    <x v="0"/>
    <d v="2025-12-20T00:00:00"/>
    <n v="7"/>
    <n v="61901"/>
  </r>
  <r>
    <s v="P0884"/>
    <s v="Rohit Khan"/>
    <n v="4"/>
    <x v="1"/>
    <x v="8"/>
    <x v="4"/>
    <d v="2025-04-13T00:00:00"/>
    <x v="5"/>
    <d v="2025-04-24T00:00:00"/>
    <n v="11"/>
    <n v="62898"/>
  </r>
  <r>
    <s v="P0885"/>
    <s v="Adil Verma"/>
    <n v="83"/>
    <x v="1"/>
    <x v="0"/>
    <x v="1"/>
    <d v="2025-10-17T00:00:00"/>
    <x v="11"/>
    <d v="2025-10-31T00:00:00"/>
    <n v="14"/>
    <n v="150094"/>
  </r>
  <r>
    <s v="P0886"/>
    <s v="Neha Singh"/>
    <n v="31"/>
    <x v="0"/>
    <x v="0"/>
    <x v="7"/>
    <d v="2025-09-04T00:00:00"/>
    <x v="2"/>
    <d v="2025-09-11T00:00:00"/>
    <n v="7"/>
    <n v="40334"/>
  </r>
  <r>
    <s v="P0887"/>
    <s v="Rahul Malik"/>
    <n v="24"/>
    <x v="0"/>
    <x v="9"/>
    <x v="4"/>
    <d v="2025-04-23T00:00:00"/>
    <x v="5"/>
    <d v="2025-05-02T00:00:00"/>
    <n v="9"/>
    <n v="105921"/>
  </r>
  <r>
    <s v="P0888"/>
    <s v="Sara Ali"/>
    <n v="7"/>
    <x v="1"/>
    <x v="0"/>
    <x v="7"/>
    <d v="2025-09-29T00:00:00"/>
    <x v="2"/>
    <d v="2025-10-11T00:00:00"/>
    <n v="12"/>
    <n v="107904"/>
  </r>
  <r>
    <s v="P0889"/>
    <s v="Sara Khan"/>
    <n v="85"/>
    <x v="0"/>
    <x v="8"/>
    <x v="5"/>
    <d v="2025-03-08T00:00:00"/>
    <x v="4"/>
    <d v="2025-03-23T00:00:00"/>
    <n v="15"/>
    <n v="145305"/>
  </r>
  <r>
    <s v="P0890"/>
    <s v="Kiran Singh"/>
    <n v="35"/>
    <x v="1"/>
    <x v="0"/>
    <x v="2"/>
    <d v="2025-05-13T00:00:00"/>
    <x v="6"/>
    <d v="2025-05-18T00:00:00"/>
    <n v="5"/>
    <n v="47745"/>
  </r>
  <r>
    <s v="P0891"/>
    <s v="Kiran Verma"/>
    <n v="24"/>
    <x v="1"/>
    <x v="8"/>
    <x v="0"/>
    <d v="2025-07-25T00:00:00"/>
    <x v="10"/>
    <d v="2025-08-03T00:00:00"/>
    <n v="9"/>
    <n v="75420"/>
  </r>
  <r>
    <s v="P0892"/>
    <s v="Rahul Ali"/>
    <n v="86"/>
    <x v="0"/>
    <x v="7"/>
    <x v="6"/>
    <d v="2025-10-19T00:00:00"/>
    <x v="11"/>
    <d v="2025-10-24T00:00:00"/>
    <n v="5"/>
    <n v="42350"/>
  </r>
  <r>
    <s v="P0893"/>
    <s v="Arjun Ali"/>
    <n v="77"/>
    <x v="1"/>
    <x v="7"/>
    <x v="4"/>
    <d v="2025-02-17T00:00:00"/>
    <x v="3"/>
    <d v="2025-02-24T00:00:00"/>
    <n v="7"/>
    <n v="59633"/>
  </r>
  <r>
    <s v="P0894"/>
    <s v="Imran Ali"/>
    <n v="58"/>
    <x v="1"/>
    <x v="1"/>
    <x v="2"/>
    <d v="2025-08-25T00:00:00"/>
    <x v="8"/>
    <d v="2025-08-29T00:00:00"/>
    <n v="4"/>
    <n v="43936"/>
  </r>
  <r>
    <s v="P0895"/>
    <s v="Imran Malik"/>
    <n v="79"/>
    <x v="0"/>
    <x v="1"/>
    <x v="1"/>
    <d v="2025-04-19T00:00:00"/>
    <x v="5"/>
    <d v="2025-04-30T00:00:00"/>
    <n v="11"/>
    <n v="72325"/>
  </r>
  <r>
    <s v="P0896"/>
    <s v="Zara Rather"/>
    <n v="64"/>
    <x v="1"/>
    <x v="1"/>
    <x v="2"/>
    <d v="2025-08-24T00:00:00"/>
    <x v="8"/>
    <d v="2025-09-02T00:00:00"/>
    <n v="9"/>
    <n v="98991"/>
  </r>
  <r>
    <s v="P0897"/>
    <s v="Mehak Gupta"/>
    <n v="65"/>
    <x v="0"/>
    <x v="4"/>
    <x v="6"/>
    <d v="2025-12-26T00:00:00"/>
    <x v="0"/>
    <d v="2025-12-30T00:00:00"/>
    <n v="4"/>
    <n v="25128"/>
  </r>
  <r>
    <s v="P0898"/>
    <s v="Neha Verma"/>
    <n v="47"/>
    <x v="1"/>
    <x v="2"/>
    <x v="1"/>
    <d v="2025-03-23T00:00:00"/>
    <x v="4"/>
    <d v="2025-03-28T00:00:00"/>
    <n v="5"/>
    <n v="37895"/>
  </r>
  <r>
    <s v="P0899"/>
    <s v="Neha Ali"/>
    <n v="1"/>
    <x v="0"/>
    <x v="2"/>
    <x v="0"/>
    <d v="2025-09-19T00:00:00"/>
    <x v="2"/>
    <d v="2025-10-02T00:00:00"/>
    <n v="13"/>
    <n v="147550"/>
  </r>
  <r>
    <s v="P0900"/>
    <s v="Aman Rather"/>
    <n v="84"/>
    <x v="0"/>
    <x v="3"/>
    <x v="6"/>
    <d v="2025-10-25T00:00:00"/>
    <x v="11"/>
    <d v="2025-11-04T00:00:00"/>
    <n v="10"/>
    <n v="69410"/>
  </r>
  <r>
    <s v="P0901"/>
    <s v="Adil Singh"/>
    <n v="68"/>
    <x v="1"/>
    <x v="7"/>
    <x v="3"/>
    <d v="2025-11-11T00:00:00"/>
    <x v="9"/>
    <d v="2025-11-22T00:00:00"/>
    <n v="11"/>
    <n v="63701"/>
  </r>
  <r>
    <s v="P0902"/>
    <s v="Arjun Rather"/>
    <n v="6"/>
    <x v="1"/>
    <x v="9"/>
    <x v="3"/>
    <d v="2025-09-24T00:00:00"/>
    <x v="2"/>
    <d v="2025-09-29T00:00:00"/>
    <n v="5"/>
    <n v="41580"/>
  </r>
  <r>
    <s v="P0903"/>
    <s v="Adil Singh"/>
    <n v="1"/>
    <x v="0"/>
    <x v="2"/>
    <x v="3"/>
    <d v="2025-08-18T00:00:00"/>
    <x v="8"/>
    <d v="2025-08-27T00:00:00"/>
    <n v="9"/>
    <n v="82116"/>
  </r>
  <r>
    <s v="P0904"/>
    <s v="Rahul Ali"/>
    <n v="37"/>
    <x v="0"/>
    <x v="9"/>
    <x v="7"/>
    <d v="2025-12-07T00:00:00"/>
    <x v="0"/>
    <d v="2025-12-19T00:00:00"/>
    <n v="12"/>
    <n v="96048"/>
  </r>
  <r>
    <s v="P0905"/>
    <s v="Zara Kapoor"/>
    <n v="8"/>
    <x v="0"/>
    <x v="2"/>
    <x v="2"/>
    <d v="2025-06-25T00:00:00"/>
    <x v="7"/>
    <d v="2025-07-09T00:00:00"/>
    <n v="14"/>
    <n v="90146"/>
  </r>
  <r>
    <s v="P0906"/>
    <s v="Anita Khan"/>
    <n v="33"/>
    <x v="1"/>
    <x v="4"/>
    <x v="6"/>
    <d v="2025-03-14T00:00:00"/>
    <x v="4"/>
    <d v="2025-03-26T00:00:00"/>
    <n v="12"/>
    <n v="91548"/>
  </r>
  <r>
    <s v="P0907"/>
    <s v="Adil Ali"/>
    <n v="23"/>
    <x v="0"/>
    <x v="3"/>
    <x v="4"/>
    <d v="2025-06-14T00:00:00"/>
    <x v="7"/>
    <d v="2025-06-28T00:00:00"/>
    <n v="14"/>
    <n v="140812"/>
  </r>
  <r>
    <s v="P0908"/>
    <s v="Mehak Khan"/>
    <n v="14"/>
    <x v="0"/>
    <x v="5"/>
    <x v="7"/>
    <d v="2025-09-27T00:00:00"/>
    <x v="2"/>
    <d v="2025-10-05T00:00:00"/>
    <n v="8"/>
    <n v="59720"/>
  </r>
  <r>
    <s v="P0909"/>
    <s v="Rohit Khan"/>
    <n v="53"/>
    <x v="0"/>
    <x v="1"/>
    <x v="4"/>
    <d v="2025-11-26T00:00:00"/>
    <x v="9"/>
    <d v="2025-11-30T00:00:00"/>
    <n v="4"/>
    <n v="25400"/>
  </r>
  <r>
    <s v="P0910"/>
    <s v="Zara Sharma"/>
    <n v="6"/>
    <x v="1"/>
    <x v="9"/>
    <x v="5"/>
    <d v="2025-10-31T00:00:00"/>
    <x v="11"/>
    <d v="2025-11-02T00:00:00"/>
    <n v="2"/>
    <n v="18142"/>
  </r>
  <r>
    <s v="P0911"/>
    <s v="Sara Khan"/>
    <n v="42"/>
    <x v="1"/>
    <x v="7"/>
    <x v="2"/>
    <d v="2025-12-30T00:00:00"/>
    <x v="0"/>
    <d v="2026-01-07T00:00:00"/>
    <n v="8"/>
    <n v="72080"/>
  </r>
  <r>
    <s v="P0912"/>
    <s v="Neha Rather"/>
    <n v="59"/>
    <x v="0"/>
    <x v="8"/>
    <x v="6"/>
    <d v="2025-02-14T00:00:00"/>
    <x v="3"/>
    <d v="2025-02-25T00:00:00"/>
    <n v="11"/>
    <n v="110627"/>
  </r>
  <r>
    <s v="P0913"/>
    <s v="Kiran Ali"/>
    <n v="69"/>
    <x v="0"/>
    <x v="6"/>
    <x v="3"/>
    <d v="2025-02-26T00:00:00"/>
    <x v="3"/>
    <d v="2025-02-27T00:00:00"/>
    <n v="1"/>
    <n v="11656"/>
  </r>
  <r>
    <s v="P0914"/>
    <s v="Rahul Sharma"/>
    <n v="19"/>
    <x v="0"/>
    <x v="6"/>
    <x v="1"/>
    <d v="2025-08-11T00:00:00"/>
    <x v="8"/>
    <d v="2025-08-26T00:00:00"/>
    <n v="15"/>
    <n v="176925"/>
  </r>
  <r>
    <s v="P0915"/>
    <s v="Kiran Sharma"/>
    <n v="15"/>
    <x v="1"/>
    <x v="7"/>
    <x v="1"/>
    <d v="2025-04-10T00:00:00"/>
    <x v="5"/>
    <d v="2025-04-20T00:00:00"/>
    <n v="10"/>
    <n v="62500"/>
  </r>
  <r>
    <s v="P0916"/>
    <s v="Adil Verma"/>
    <n v="41"/>
    <x v="0"/>
    <x v="2"/>
    <x v="4"/>
    <d v="2025-11-18T00:00:00"/>
    <x v="9"/>
    <d v="2025-11-30T00:00:00"/>
    <n v="12"/>
    <n v="102372"/>
  </r>
  <r>
    <s v="P0917"/>
    <s v="Neha Khan"/>
    <n v="25"/>
    <x v="0"/>
    <x v="7"/>
    <x v="3"/>
    <d v="2025-07-06T00:00:00"/>
    <x v="10"/>
    <d v="2025-07-17T00:00:00"/>
    <n v="11"/>
    <n v="59752"/>
  </r>
  <r>
    <s v="P0918"/>
    <s v="Pooja Sharma"/>
    <n v="71"/>
    <x v="0"/>
    <x v="6"/>
    <x v="4"/>
    <d v="2025-09-27T00:00:00"/>
    <x v="2"/>
    <d v="2025-10-02T00:00:00"/>
    <n v="5"/>
    <n v="37040"/>
  </r>
  <r>
    <s v="P0919"/>
    <s v="Mehak Gupta"/>
    <n v="9"/>
    <x v="0"/>
    <x v="1"/>
    <x v="6"/>
    <d v="2025-05-19T00:00:00"/>
    <x v="6"/>
    <d v="2025-06-03T00:00:00"/>
    <n v="15"/>
    <n v="171540"/>
  </r>
  <r>
    <s v="P0920"/>
    <s v="Aman Verma"/>
    <n v="26"/>
    <x v="0"/>
    <x v="7"/>
    <x v="1"/>
    <d v="2025-10-01T00:00:00"/>
    <x v="11"/>
    <d v="2025-10-04T00:00:00"/>
    <n v="3"/>
    <n v="28506"/>
  </r>
  <r>
    <s v="P0921"/>
    <s v="Pooja Ali"/>
    <n v="59"/>
    <x v="1"/>
    <x v="9"/>
    <x v="0"/>
    <d v="2025-01-04T00:00:00"/>
    <x v="1"/>
    <d v="2025-01-10T00:00:00"/>
    <n v="6"/>
    <n v="30552"/>
  </r>
  <r>
    <s v="P0922"/>
    <s v="Sara Khan"/>
    <n v="82"/>
    <x v="0"/>
    <x v="8"/>
    <x v="5"/>
    <d v="2025-03-01T00:00:00"/>
    <x v="4"/>
    <d v="2025-03-10T00:00:00"/>
    <n v="9"/>
    <n v="84447"/>
  </r>
  <r>
    <s v="P0923"/>
    <s v="Kiran Ali"/>
    <n v="30"/>
    <x v="0"/>
    <x v="3"/>
    <x v="0"/>
    <d v="2025-01-12T00:00:00"/>
    <x v="1"/>
    <d v="2025-01-15T00:00:00"/>
    <n v="3"/>
    <n v="31950"/>
  </r>
  <r>
    <s v="P0924"/>
    <s v="Adil Ali"/>
    <n v="57"/>
    <x v="1"/>
    <x v="8"/>
    <x v="3"/>
    <d v="2025-09-29T00:00:00"/>
    <x v="2"/>
    <d v="2025-10-03T00:00:00"/>
    <n v="4"/>
    <n v="37532"/>
  </r>
  <r>
    <s v="P0925"/>
    <s v="Aman Khan"/>
    <n v="64"/>
    <x v="0"/>
    <x v="5"/>
    <x v="3"/>
    <d v="2025-05-23T00:00:00"/>
    <x v="6"/>
    <d v="2025-06-01T00:00:00"/>
    <n v="9"/>
    <n v="47538"/>
  </r>
  <r>
    <s v="P0926"/>
    <s v="Mehak Khan"/>
    <n v="11"/>
    <x v="0"/>
    <x v="6"/>
    <x v="1"/>
    <d v="2025-05-09T00:00:00"/>
    <x v="6"/>
    <d v="2025-05-12T00:00:00"/>
    <n v="3"/>
    <n v="29952"/>
  </r>
  <r>
    <s v="P0927"/>
    <s v="Imran Ali"/>
    <n v="7"/>
    <x v="0"/>
    <x v="7"/>
    <x v="1"/>
    <d v="2025-06-24T00:00:00"/>
    <x v="7"/>
    <d v="2025-07-03T00:00:00"/>
    <n v="9"/>
    <n v="69057"/>
  </r>
  <r>
    <s v="P0928"/>
    <s v="Aman Verma"/>
    <n v="65"/>
    <x v="1"/>
    <x v="9"/>
    <x v="3"/>
    <d v="2025-07-27T00:00:00"/>
    <x v="10"/>
    <d v="2025-08-03T00:00:00"/>
    <n v="7"/>
    <n v="38780"/>
  </r>
  <r>
    <s v="P0929"/>
    <s v="Rohit Ali"/>
    <n v="34"/>
    <x v="0"/>
    <x v="7"/>
    <x v="4"/>
    <d v="2025-08-10T00:00:00"/>
    <x v="8"/>
    <d v="2025-08-24T00:00:00"/>
    <n v="14"/>
    <n v="91266"/>
  </r>
  <r>
    <s v="P0930"/>
    <s v="Anita Khan"/>
    <n v="73"/>
    <x v="0"/>
    <x v="1"/>
    <x v="4"/>
    <d v="2025-12-26T00:00:00"/>
    <x v="0"/>
    <d v="2026-01-09T00:00:00"/>
    <n v="14"/>
    <n v="103614"/>
  </r>
  <r>
    <s v="P0931"/>
    <s v="Vikas Kapoor"/>
    <n v="12"/>
    <x v="1"/>
    <x v="7"/>
    <x v="3"/>
    <d v="2025-04-28T00:00:00"/>
    <x v="5"/>
    <d v="2025-05-06T00:00:00"/>
    <n v="8"/>
    <n v="93488"/>
  </r>
  <r>
    <s v="P0932"/>
    <s v="Sara Sharma"/>
    <n v="73"/>
    <x v="0"/>
    <x v="8"/>
    <x v="2"/>
    <d v="2025-05-09T00:00:00"/>
    <x v="6"/>
    <d v="2025-05-24T00:00:00"/>
    <n v="15"/>
    <n v="124650"/>
  </r>
  <r>
    <s v="P0933"/>
    <s v="Neha Rather"/>
    <n v="58"/>
    <x v="0"/>
    <x v="8"/>
    <x v="1"/>
    <d v="2025-08-21T00:00:00"/>
    <x v="8"/>
    <d v="2025-08-30T00:00:00"/>
    <n v="9"/>
    <n v="41310"/>
  </r>
  <r>
    <s v="P0934"/>
    <s v="Mehak Kumar"/>
    <n v="12"/>
    <x v="0"/>
    <x v="7"/>
    <x v="7"/>
    <d v="2025-03-05T00:00:00"/>
    <x v="4"/>
    <d v="2025-03-19T00:00:00"/>
    <n v="14"/>
    <n v="89208"/>
  </r>
  <r>
    <s v="P0935"/>
    <s v="Rohit Ali"/>
    <n v="90"/>
    <x v="1"/>
    <x v="6"/>
    <x v="5"/>
    <d v="2025-11-23T00:00:00"/>
    <x v="9"/>
    <d v="2025-12-01T00:00:00"/>
    <n v="8"/>
    <n v="38240"/>
  </r>
  <r>
    <s v="P0936"/>
    <s v="Mehak Kumar"/>
    <n v="29"/>
    <x v="1"/>
    <x v="3"/>
    <x v="4"/>
    <d v="2025-10-17T00:00:00"/>
    <x v="11"/>
    <d v="2025-11-01T00:00:00"/>
    <n v="15"/>
    <n v="148770"/>
  </r>
  <r>
    <s v="P0937"/>
    <s v="Aman Sharma"/>
    <n v="75"/>
    <x v="1"/>
    <x v="7"/>
    <x v="7"/>
    <d v="2025-12-15T00:00:00"/>
    <x v="0"/>
    <d v="2025-12-19T00:00:00"/>
    <n v="4"/>
    <n v="16484"/>
  </r>
  <r>
    <s v="P0938"/>
    <s v="Arjun Sharma"/>
    <n v="64"/>
    <x v="0"/>
    <x v="4"/>
    <x v="5"/>
    <d v="2025-08-31T00:00:00"/>
    <x v="8"/>
    <d v="2025-09-12T00:00:00"/>
    <n v="12"/>
    <n v="102180"/>
  </r>
  <r>
    <s v="P0939"/>
    <s v="Imran Gupta"/>
    <n v="80"/>
    <x v="0"/>
    <x v="7"/>
    <x v="7"/>
    <d v="2025-05-13T00:00:00"/>
    <x v="6"/>
    <d v="2025-05-17T00:00:00"/>
    <n v="4"/>
    <n v="42928"/>
  </r>
  <r>
    <s v="P0940"/>
    <s v="Aman Verma"/>
    <n v="3"/>
    <x v="1"/>
    <x v="6"/>
    <x v="6"/>
    <d v="2025-08-26T00:00:00"/>
    <x v="8"/>
    <d v="2025-09-09T00:00:00"/>
    <n v="14"/>
    <n v="117572"/>
  </r>
  <r>
    <s v="P0941"/>
    <s v="Rahul Gupta"/>
    <n v="9"/>
    <x v="0"/>
    <x v="8"/>
    <x v="2"/>
    <d v="2025-03-31T00:00:00"/>
    <x v="4"/>
    <d v="2025-04-05T00:00:00"/>
    <n v="5"/>
    <n v="51830"/>
  </r>
  <r>
    <s v="P0942"/>
    <s v="Zara Malik"/>
    <n v="35"/>
    <x v="0"/>
    <x v="6"/>
    <x v="2"/>
    <d v="2025-02-12T00:00:00"/>
    <x v="3"/>
    <d v="2025-02-24T00:00:00"/>
    <n v="12"/>
    <n v="87864"/>
  </r>
  <r>
    <s v="P0943"/>
    <s v="Arjun Malik"/>
    <n v="32"/>
    <x v="0"/>
    <x v="8"/>
    <x v="7"/>
    <d v="2025-05-23T00:00:00"/>
    <x v="6"/>
    <d v="2025-05-31T00:00:00"/>
    <n v="8"/>
    <n v="48384"/>
  </r>
  <r>
    <s v="P0944"/>
    <s v="Adil Verma"/>
    <n v="77"/>
    <x v="0"/>
    <x v="2"/>
    <x v="6"/>
    <d v="2025-01-05T00:00:00"/>
    <x v="1"/>
    <d v="2025-01-09T00:00:00"/>
    <n v="4"/>
    <n v="23640"/>
  </r>
  <r>
    <s v="P0945"/>
    <s v="Imran Ali"/>
    <n v="53"/>
    <x v="0"/>
    <x v="6"/>
    <x v="5"/>
    <d v="2025-06-24T00:00:00"/>
    <x v="7"/>
    <d v="2025-06-26T00:00:00"/>
    <n v="2"/>
    <n v="16560"/>
  </r>
  <r>
    <s v="P0946"/>
    <s v="Rahul Verma"/>
    <n v="82"/>
    <x v="0"/>
    <x v="9"/>
    <x v="3"/>
    <d v="2025-10-13T00:00:00"/>
    <x v="11"/>
    <d v="2025-10-26T00:00:00"/>
    <n v="13"/>
    <n v="80483"/>
  </r>
  <r>
    <s v="P0947"/>
    <s v="Sara Rather"/>
    <n v="38"/>
    <x v="1"/>
    <x v="3"/>
    <x v="6"/>
    <d v="2025-01-15T00:00:00"/>
    <x v="1"/>
    <d v="2025-01-22T00:00:00"/>
    <n v="7"/>
    <n v="35819"/>
  </r>
  <r>
    <s v="P0948"/>
    <s v="Sara Sharma"/>
    <n v="63"/>
    <x v="1"/>
    <x v="2"/>
    <x v="4"/>
    <d v="2025-11-28T00:00:00"/>
    <x v="9"/>
    <d v="2025-12-13T00:00:00"/>
    <n v="15"/>
    <n v="82710"/>
  </r>
  <r>
    <s v="P0949"/>
    <s v="Mehak Verma"/>
    <n v="52"/>
    <x v="1"/>
    <x v="5"/>
    <x v="3"/>
    <d v="2025-12-12T00:00:00"/>
    <x v="0"/>
    <d v="2025-12-21T00:00:00"/>
    <n v="9"/>
    <n v="52731"/>
  </r>
  <r>
    <s v="P0950"/>
    <s v="Priya Gupta"/>
    <n v="51"/>
    <x v="0"/>
    <x v="5"/>
    <x v="7"/>
    <d v="2025-09-15T00:00:00"/>
    <x v="2"/>
    <d v="2025-09-18T00:00:00"/>
    <n v="3"/>
    <n v="22803"/>
  </r>
  <r>
    <s v="P0951"/>
    <s v="Rohit Malik"/>
    <n v="13"/>
    <x v="1"/>
    <x v="7"/>
    <x v="6"/>
    <d v="2025-06-25T00:00:00"/>
    <x v="7"/>
    <d v="2025-06-26T00:00:00"/>
    <n v="1"/>
    <n v="5886"/>
  </r>
  <r>
    <s v="P0952"/>
    <s v="Kiran Ali"/>
    <n v="17"/>
    <x v="0"/>
    <x v="6"/>
    <x v="6"/>
    <d v="2025-12-26T00:00:00"/>
    <x v="0"/>
    <d v="2026-01-03T00:00:00"/>
    <n v="8"/>
    <n v="93184"/>
  </r>
  <r>
    <s v="P0953"/>
    <s v="Pooja Gupta"/>
    <n v="4"/>
    <x v="0"/>
    <x v="4"/>
    <x v="6"/>
    <d v="2025-02-14T00:00:00"/>
    <x v="3"/>
    <d v="2025-02-26T00:00:00"/>
    <n v="12"/>
    <n v="69156"/>
  </r>
  <r>
    <s v="P0954"/>
    <s v="Mehak Gupta"/>
    <n v="59"/>
    <x v="1"/>
    <x v="7"/>
    <x v="0"/>
    <d v="2025-01-11T00:00:00"/>
    <x v="1"/>
    <d v="2025-01-19T00:00:00"/>
    <n v="8"/>
    <n v="88384"/>
  </r>
  <r>
    <s v="P0955"/>
    <s v="Rohit Sharma"/>
    <n v="39"/>
    <x v="1"/>
    <x v="1"/>
    <x v="7"/>
    <d v="2025-05-31T00:00:00"/>
    <x v="6"/>
    <d v="2025-06-14T00:00:00"/>
    <n v="14"/>
    <n v="144214"/>
  </r>
  <r>
    <s v="P0956"/>
    <s v="Neha Ali"/>
    <n v="19"/>
    <x v="0"/>
    <x v="8"/>
    <x v="4"/>
    <d v="2025-01-19T00:00:00"/>
    <x v="1"/>
    <d v="2025-01-21T00:00:00"/>
    <n v="2"/>
    <n v="19198"/>
  </r>
  <r>
    <s v="P0957"/>
    <s v="Adil Gupta"/>
    <n v="72"/>
    <x v="1"/>
    <x v="3"/>
    <x v="4"/>
    <d v="2025-03-30T00:00:00"/>
    <x v="4"/>
    <d v="2025-04-10T00:00:00"/>
    <n v="11"/>
    <n v="90717"/>
  </r>
  <r>
    <s v="P0958"/>
    <s v="Rohit Kapoor"/>
    <n v="14"/>
    <x v="0"/>
    <x v="7"/>
    <x v="7"/>
    <d v="2025-01-10T00:00:00"/>
    <x v="1"/>
    <d v="2025-01-11T00:00:00"/>
    <n v="1"/>
    <n v="7856"/>
  </r>
  <r>
    <s v="P0959"/>
    <s v="Rohit Singh"/>
    <n v="13"/>
    <x v="1"/>
    <x v="9"/>
    <x v="2"/>
    <d v="2025-06-13T00:00:00"/>
    <x v="7"/>
    <d v="2025-06-25T00:00:00"/>
    <n v="12"/>
    <n v="60180"/>
  </r>
  <r>
    <s v="P0960"/>
    <s v="Priya Singh"/>
    <n v="87"/>
    <x v="1"/>
    <x v="4"/>
    <x v="5"/>
    <d v="2025-10-16T00:00:00"/>
    <x v="11"/>
    <d v="2025-10-18T00:00:00"/>
    <n v="2"/>
    <n v="16578"/>
  </r>
  <r>
    <s v="P0961"/>
    <s v="Priya Rather"/>
    <n v="77"/>
    <x v="1"/>
    <x v="2"/>
    <x v="4"/>
    <d v="2025-09-06T00:00:00"/>
    <x v="2"/>
    <d v="2025-09-10T00:00:00"/>
    <n v="4"/>
    <n v="37748"/>
  </r>
  <r>
    <s v="P0962"/>
    <s v="Sara Sharma"/>
    <n v="5"/>
    <x v="1"/>
    <x v="0"/>
    <x v="6"/>
    <d v="2025-03-04T00:00:00"/>
    <x v="4"/>
    <d v="2025-03-12T00:00:00"/>
    <n v="8"/>
    <n v="92400"/>
  </r>
  <r>
    <s v="P0963"/>
    <s v="Sara Verma"/>
    <n v="63"/>
    <x v="0"/>
    <x v="9"/>
    <x v="5"/>
    <d v="2025-04-19T00:00:00"/>
    <x v="5"/>
    <d v="2025-05-01T00:00:00"/>
    <n v="12"/>
    <n v="140124"/>
  </r>
  <r>
    <s v="P0964"/>
    <s v="Rohit Kapoor"/>
    <n v="47"/>
    <x v="1"/>
    <x v="4"/>
    <x v="7"/>
    <d v="2025-04-02T00:00:00"/>
    <x v="5"/>
    <d v="2025-04-15T00:00:00"/>
    <n v="13"/>
    <n v="115921"/>
  </r>
  <r>
    <s v="P0965"/>
    <s v="Rahul Rather"/>
    <n v="44"/>
    <x v="1"/>
    <x v="0"/>
    <x v="2"/>
    <d v="2025-05-18T00:00:00"/>
    <x v="6"/>
    <d v="2025-05-22T00:00:00"/>
    <n v="4"/>
    <n v="28136"/>
  </r>
  <r>
    <s v="P0966"/>
    <s v="Aman Gupta"/>
    <n v="55"/>
    <x v="0"/>
    <x v="6"/>
    <x v="5"/>
    <d v="2025-10-25T00:00:00"/>
    <x v="11"/>
    <d v="2025-11-02T00:00:00"/>
    <n v="8"/>
    <n v="91976"/>
  </r>
  <r>
    <s v="P0967"/>
    <s v="Zara Verma"/>
    <n v="53"/>
    <x v="0"/>
    <x v="9"/>
    <x v="6"/>
    <d v="2025-11-09T00:00:00"/>
    <x v="9"/>
    <d v="2025-11-16T00:00:00"/>
    <n v="7"/>
    <n v="51905"/>
  </r>
  <r>
    <s v="P0968"/>
    <s v="Anita Ali"/>
    <n v="49"/>
    <x v="0"/>
    <x v="0"/>
    <x v="1"/>
    <d v="2025-06-30T00:00:00"/>
    <x v="7"/>
    <d v="2025-07-11T00:00:00"/>
    <n v="11"/>
    <n v="87703"/>
  </r>
  <r>
    <s v="P0969"/>
    <s v="Rohit Malik"/>
    <n v="84"/>
    <x v="0"/>
    <x v="1"/>
    <x v="4"/>
    <d v="2025-03-31T00:00:00"/>
    <x v="4"/>
    <d v="2025-04-02T00:00:00"/>
    <n v="2"/>
    <n v="15070"/>
  </r>
  <r>
    <s v="P0970"/>
    <s v="Zara Malik"/>
    <n v="89"/>
    <x v="1"/>
    <x v="3"/>
    <x v="3"/>
    <d v="2025-11-21T00:00:00"/>
    <x v="9"/>
    <d v="2025-11-22T00:00:00"/>
    <n v="1"/>
    <n v="5364"/>
  </r>
  <r>
    <s v="P0971"/>
    <s v="Priya Verma"/>
    <n v="9"/>
    <x v="0"/>
    <x v="0"/>
    <x v="4"/>
    <d v="2025-04-02T00:00:00"/>
    <x v="5"/>
    <d v="2025-04-17T00:00:00"/>
    <n v="15"/>
    <n v="90000"/>
  </r>
  <r>
    <s v="P0972"/>
    <s v="Anita Malik"/>
    <n v="18"/>
    <x v="1"/>
    <x v="1"/>
    <x v="4"/>
    <d v="2025-01-07T00:00:00"/>
    <x v="1"/>
    <d v="2025-01-12T00:00:00"/>
    <n v="5"/>
    <n v="57800"/>
  </r>
  <r>
    <s v="P0973"/>
    <s v="Zara Singh"/>
    <n v="59"/>
    <x v="1"/>
    <x v="9"/>
    <x v="5"/>
    <d v="2025-12-11T00:00:00"/>
    <x v="0"/>
    <d v="2025-12-21T00:00:00"/>
    <n v="10"/>
    <n v="72130"/>
  </r>
  <r>
    <s v="P0974"/>
    <s v="Mehak Rather"/>
    <n v="35"/>
    <x v="0"/>
    <x v="9"/>
    <x v="7"/>
    <d v="2025-08-19T00:00:00"/>
    <x v="8"/>
    <d v="2025-08-24T00:00:00"/>
    <n v="5"/>
    <n v="53720"/>
  </r>
  <r>
    <s v="P0975"/>
    <s v="Mehak Malik"/>
    <n v="41"/>
    <x v="1"/>
    <x v="9"/>
    <x v="0"/>
    <d v="2025-02-27T00:00:00"/>
    <x v="3"/>
    <d v="2025-03-04T00:00:00"/>
    <n v="5"/>
    <n v="52260"/>
  </r>
  <r>
    <s v="P0976"/>
    <s v="Pooja Singh"/>
    <n v="41"/>
    <x v="0"/>
    <x v="1"/>
    <x v="6"/>
    <d v="2025-12-18T00:00:00"/>
    <x v="0"/>
    <d v="2025-12-19T00:00:00"/>
    <n v="1"/>
    <n v="10776"/>
  </r>
  <r>
    <s v="P0977"/>
    <s v="Rohit Singh"/>
    <n v="38"/>
    <x v="0"/>
    <x v="4"/>
    <x v="4"/>
    <d v="2025-01-05T00:00:00"/>
    <x v="1"/>
    <d v="2025-01-18T00:00:00"/>
    <n v="13"/>
    <n v="115973"/>
  </r>
  <r>
    <s v="P0978"/>
    <s v="Vikas Malik"/>
    <n v="65"/>
    <x v="0"/>
    <x v="4"/>
    <x v="1"/>
    <d v="2025-12-10T00:00:00"/>
    <x v="0"/>
    <d v="2025-12-14T00:00:00"/>
    <n v="4"/>
    <n v="37116"/>
  </r>
  <r>
    <s v="P0979"/>
    <s v="Anita Verma"/>
    <n v="18"/>
    <x v="1"/>
    <x v="6"/>
    <x v="7"/>
    <d v="2025-07-27T00:00:00"/>
    <x v="10"/>
    <d v="2025-08-08T00:00:00"/>
    <n v="12"/>
    <n v="133824"/>
  </r>
  <r>
    <s v="P0980"/>
    <s v="Imran Malik"/>
    <n v="65"/>
    <x v="1"/>
    <x v="6"/>
    <x v="1"/>
    <d v="2025-12-16T00:00:00"/>
    <x v="0"/>
    <d v="2025-12-31T00:00:00"/>
    <n v="15"/>
    <n v="149310"/>
  </r>
  <r>
    <s v="P0981"/>
    <s v="Aman Sharma"/>
    <n v="24"/>
    <x v="1"/>
    <x v="5"/>
    <x v="2"/>
    <d v="2025-10-20T00:00:00"/>
    <x v="11"/>
    <d v="2025-10-25T00:00:00"/>
    <n v="5"/>
    <n v="42950"/>
  </r>
  <r>
    <s v="P0982"/>
    <s v="Neha Sharma"/>
    <n v="48"/>
    <x v="1"/>
    <x v="0"/>
    <x v="0"/>
    <d v="2025-05-19T00:00:00"/>
    <x v="6"/>
    <d v="2025-05-23T00:00:00"/>
    <n v="4"/>
    <n v="41632"/>
  </r>
  <r>
    <s v="P0983"/>
    <s v="Arjun Kumar"/>
    <n v="4"/>
    <x v="1"/>
    <x v="8"/>
    <x v="4"/>
    <d v="2025-03-12T00:00:00"/>
    <x v="4"/>
    <d v="2025-03-19T00:00:00"/>
    <n v="7"/>
    <n v="70420"/>
  </r>
  <r>
    <s v="P0984"/>
    <s v="Priya Kapoor"/>
    <n v="18"/>
    <x v="0"/>
    <x v="9"/>
    <x v="4"/>
    <d v="2025-06-10T00:00:00"/>
    <x v="7"/>
    <d v="2025-06-11T00:00:00"/>
    <n v="1"/>
    <n v="11338"/>
  </r>
  <r>
    <s v="P0985"/>
    <s v="Imran Verma"/>
    <n v="84"/>
    <x v="0"/>
    <x v="5"/>
    <x v="1"/>
    <d v="2025-05-29T00:00:00"/>
    <x v="6"/>
    <d v="2025-06-01T00:00:00"/>
    <n v="3"/>
    <n v="16410"/>
  </r>
  <r>
    <s v="P0986"/>
    <s v="Aman Khan"/>
    <n v="1"/>
    <x v="1"/>
    <x v="1"/>
    <x v="5"/>
    <d v="2025-03-15T00:00:00"/>
    <x v="4"/>
    <d v="2025-03-18T00:00:00"/>
    <n v="3"/>
    <n v="23382"/>
  </r>
  <r>
    <s v="P0987"/>
    <s v="Anita Sharma"/>
    <n v="44"/>
    <x v="0"/>
    <x v="9"/>
    <x v="1"/>
    <d v="2025-10-27T00:00:00"/>
    <x v="11"/>
    <d v="2025-11-10T00:00:00"/>
    <n v="14"/>
    <n v="57722"/>
  </r>
  <r>
    <s v="P0988"/>
    <s v="Rahul Ali"/>
    <n v="49"/>
    <x v="0"/>
    <x v="4"/>
    <x v="4"/>
    <d v="2025-03-16T00:00:00"/>
    <x v="4"/>
    <d v="2025-03-22T00:00:00"/>
    <n v="6"/>
    <n v="55728"/>
  </r>
  <r>
    <s v="P0989"/>
    <s v="Adil Kumar"/>
    <n v="73"/>
    <x v="1"/>
    <x v="9"/>
    <x v="1"/>
    <d v="2025-02-08T00:00:00"/>
    <x v="3"/>
    <d v="2025-02-16T00:00:00"/>
    <n v="8"/>
    <n v="65416"/>
  </r>
  <r>
    <s v="P0990"/>
    <s v="Pooja Ali"/>
    <n v="44"/>
    <x v="0"/>
    <x v="2"/>
    <x v="7"/>
    <d v="2025-12-30T00:00:00"/>
    <x v="0"/>
    <d v="2025-12-31T00:00:00"/>
    <n v="1"/>
    <n v="10213"/>
  </r>
  <r>
    <s v="P0991"/>
    <s v="Sara Ali"/>
    <n v="4"/>
    <x v="0"/>
    <x v="8"/>
    <x v="3"/>
    <d v="2025-10-08T00:00:00"/>
    <x v="11"/>
    <d v="2025-10-20T00:00:00"/>
    <n v="12"/>
    <n v="100488"/>
  </r>
  <r>
    <s v="P0992"/>
    <s v="Arjun Khan"/>
    <n v="79"/>
    <x v="1"/>
    <x v="6"/>
    <x v="6"/>
    <d v="2025-09-20T00:00:00"/>
    <x v="2"/>
    <d v="2025-10-04T00:00:00"/>
    <n v="14"/>
    <n v="90342"/>
  </r>
  <r>
    <s v="P0993"/>
    <s v="Sara Malik"/>
    <n v="30"/>
    <x v="0"/>
    <x v="6"/>
    <x v="0"/>
    <d v="2025-01-28T00:00:00"/>
    <x v="1"/>
    <d v="2025-02-12T00:00:00"/>
    <n v="15"/>
    <n v="107160"/>
  </r>
  <r>
    <s v="P0994"/>
    <s v="Arjun Kapoor"/>
    <n v="42"/>
    <x v="0"/>
    <x v="3"/>
    <x v="6"/>
    <d v="2025-03-07T00:00:00"/>
    <x v="4"/>
    <d v="2025-03-22T00:00:00"/>
    <n v="15"/>
    <n v="67995"/>
  </r>
  <r>
    <s v="P0995"/>
    <s v="Sara Kapoor"/>
    <n v="27"/>
    <x v="0"/>
    <x v="8"/>
    <x v="0"/>
    <d v="2025-02-26T00:00:00"/>
    <x v="3"/>
    <d v="2025-03-03T00:00:00"/>
    <n v="5"/>
    <n v="48365"/>
  </r>
  <r>
    <s v="P0996"/>
    <s v="Anita Kapoor"/>
    <n v="10"/>
    <x v="1"/>
    <x v="7"/>
    <x v="1"/>
    <d v="2025-05-15T00:00:00"/>
    <x v="6"/>
    <d v="2025-05-25T00:00:00"/>
    <n v="10"/>
    <n v="82890"/>
  </r>
  <r>
    <s v="P0997"/>
    <s v="Neha Rather"/>
    <n v="65"/>
    <x v="1"/>
    <x v="8"/>
    <x v="6"/>
    <d v="2025-06-21T00:00:00"/>
    <x v="7"/>
    <d v="2025-06-28T00:00:00"/>
    <n v="7"/>
    <n v="70637"/>
  </r>
  <r>
    <s v="P0998"/>
    <s v="Arjun Ali"/>
    <n v="10"/>
    <x v="0"/>
    <x v="8"/>
    <x v="5"/>
    <d v="2025-05-27T00:00:00"/>
    <x v="6"/>
    <d v="2025-06-09T00:00:00"/>
    <n v="13"/>
    <n v="123084"/>
  </r>
  <r>
    <s v="P0999"/>
    <s v="Vikas Ali"/>
    <n v="89"/>
    <x v="1"/>
    <x v="0"/>
    <x v="6"/>
    <d v="2025-03-25T00:00:00"/>
    <x v="4"/>
    <d v="2025-04-05T00:00:00"/>
    <n v="11"/>
    <n v="71687"/>
  </r>
  <r>
    <s v="P1000"/>
    <s v="Anita Singh"/>
    <n v="40"/>
    <x v="1"/>
    <x v="0"/>
    <x v="3"/>
    <d v="2025-09-13T00:00:00"/>
    <x v="2"/>
    <d v="2025-09-19T00:00:00"/>
    <n v="6"/>
    <n v="253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299908-9EA2-49A1-864A-1C4D68027E9E}" name="Disease Analysi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4" firstHeaderRow="1" firstDataRow="1" firstDataCol="1"/>
  <pivotFields count="11">
    <pivotField dataField="1" showAll="0"/>
    <pivotField showAll="0"/>
    <pivotField showAll="0"/>
    <pivotField showAll="0">
      <items count="3">
        <item x="1"/>
        <item x="0"/>
        <item t="default"/>
      </items>
    </pivotField>
    <pivotField axis="axisRow" showAll="0">
      <items count="11">
        <item x="7"/>
        <item x="5"/>
        <item x="4"/>
        <item x="2"/>
        <item x="8"/>
        <item x="3"/>
        <item x="9"/>
        <item x="1"/>
        <item x="0"/>
        <item x="6"/>
        <item t="default"/>
      </items>
    </pivotField>
    <pivotField showAll="0">
      <items count="9">
        <item x="6"/>
        <item x="5"/>
        <item x="1"/>
        <item x="0"/>
        <item x="2"/>
        <item x="4"/>
        <item x="7"/>
        <item x="3"/>
        <item t="default"/>
      </items>
    </pivotField>
    <pivotField numFmtId="14" showAll="0"/>
    <pivotField showAll="0"/>
    <pivotField numFmtId="14" showAll="0"/>
    <pivotField numFmtId="1" showAll="0"/>
    <pivotField numFmtId="165" showAll="0"/>
  </pivotFields>
  <rowFields count="1">
    <field x="4"/>
  </rowFields>
  <rowItems count="11">
    <i>
      <x/>
    </i>
    <i>
      <x v="1"/>
    </i>
    <i>
      <x v="2"/>
    </i>
    <i>
      <x v="3"/>
    </i>
    <i>
      <x v="4"/>
    </i>
    <i>
      <x v="5"/>
    </i>
    <i>
      <x v="6"/>
    </i>
    <i>
      <x v="7"/>
    </i>
    <i>
      <x v="8"/>
    </i>
    <i>
      <x v="9"/>
    </i>
    <i t="grand">
      <x/>
    </i>
  </rowItems>
  <colItems count="1">
    <i/>
  </colItems>
  <dataFields count="1">
    <dataField name="Count of Patient ID" fld="0" subtotal="count" baseField="0" baseItem="0"/>
  </dataField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16473D-D93B-48D8-8CE6-547CA7ED4128}"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11">
    <pivotField showAll="0"/>
    <pivotField showAll="0"/>
    <pivotField showAll="0"/>
    <pivotField showAll="0">
      <items count="3">
        <item x="1"/>
        <item x="0"/>
        <item t="default"/>
      </items>
    </pivotField>
    <pivotField showAll="0">
      <items count="11">
        <item x="7"/>
        <item x="5"/>
        <item x="4"/>
        <item x="2"/>
        <item x="8"/>
        <item x="3"/>
        <item x="9"/>
        <item x="1"/>
        <item x="0"/>
        <item x="6"/>
        <item t="default"/>
      </items>
    </pivotField>
    <pivotField axis="axisRow" showAll="0">
      <items count="9">
        <item x="6"/>
        <item x="5"/>
        <item x="1"/>
        <item x="0"/>
        <item x="2"/>
        <item x="4"/>
        <item x="7"/>
        <item x="3"/>
        <item t="default"/>
      </items>
    </pivotField>
    <pivotField numFmtId="14" showAll="0"/>
    <pivotField showAll="0"/>
    <pivotField numFmtId="14" showAll="0"/>
    <pivotField numFmtId="1" showAll="0"/>
    <pivotField dataField="1" numFmtId="165" showAll="0"/>
  </pivotFields>
  <rowFields count="1">
    <field x="5"/>
  </rowFields>
  <rowItems count="9">
    <i>
      <x/>
    </i>
    <i>
      <x v="1"/>
    </i>
    <i>
      <x v="2"/>
    </i>
    <i>
      <x v="3"/>
    </i>
    <i>
      <x v="4"/>
    </i>
    <i>
      <x v="5"/>
    </i>
    <i>
      <x v="6"/>
    </i>
    <i>
      <x v="7"/>
    </i>
    <i t="grand">
      <x/>
    </i>
  </rowItems>
  <colItems count="1">
    <i/>
  </colItems>
  <dataFields count="1">
    <dataField name="Sum of Bill" fld="10" baseField="0" baseItem="0" numFmtId="165"/>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84E42D-702D-4069-A5AD-57FBDFDF697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11">
    <pivotField showAll="0"/>
    <pivotField showAll="0"/>
    <pivotField showAll="0"/>
    <pivotField showAll="0">
      <items count="3">
        <item x="1"/>
        <item x="0"/>
        <item t="default"/>
      </items>
    </pivotField>
    <pivotField showAll="0">
      <items count="11">
        <item x="7"/>
        <item x="5"/>
        <item x="4"/>
        <item x="2"/>
        <item x="8"/>
        <item x="3"/>
        <item x="9"/>
        <item x="1"/>
        <item x="0"/>
        <item x="6"/>
        <item t="default"/>
      </items>
    </pivotField>
    <pivotField axis="axisRow" showAll="0">
      <items count="9">
        <item x="6"/>
        <item x="5"/>
        <item x="1"/>
        <item x="0"/>
        <item x="2"/>
        <item x="4"/>
        <item x="7"/>
        <item x="3"/>
        <item t="default"/>
      </items>
    </pivotField>
    <pivotField numFmtId="14" showAll="0"/>
    <pivotField showAll="0"/>
    <pivotField numFmtId="14" showAll="0"/>
    <pivotField numFmtId="1" showAll="0"/>
    <pivotField dataField="1" numFmtId="165" showAll="0"/>
  </pivotFields>
  <rowFields count="1">
    <field x="5"/>
  </rowFields>
  <rowItems count="9">
    <i>
      <x/>
    </i>
    <i>
      <x v="1"/>
    </i>
    <i>
      <x v="2"/>
    </i>
    <i>
      <x v="3"/>
    </i>
    <i>
      <x v="4"/>
    </i>
    <i>
      <x v="5"/>
    </i>
    <i>
      <x v="6"/>
    </i>
    <i>
      <x v="7"/>
    </i>
    <i t="grand">
      <x/>
    </i>
  </rowItems>
  <colItems count="1">
    <i/>
  </colItems>
  <dataFields count="1">
    <dataField name="Sum of Bill" fld="10" baseField="0" baseItem="0" numFmtId="165"/>
  </dataFields>
  <chartFormats count="9">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5" count="1" selected="0">
            <x v="0"/>
          </reference>
        </references>
      </pivotArea>
    </chartFormat>
    <chartFormat chart="5" format="12">
      <pivotArea type="data" outline="0" fieldPosition="0">
        <references count="2">
          <reference field="4294967294" count="1" selected="0">
            <x v="0"/>
          </reference>
          <reference field="5" count="1" selected="0">
            <x v="1"/>
          </reference>
        </references>
      </pivotArea>
    </chartFormat>
    <chartFormat chart="5" format="13">
      <pivotArea type="data" outline="0" fieldPosition="0">
        <references count="2">
          <reference field="4294967294" count="1" selected="0">
            <x v="0"/>
          </reference>
          <reference field="5" count="1" selected="0">
            <x v="2"/>
          </reference>
        </references>
      </pivotArea>
    </chartFormat>
    <chartFormat chart="5" format="14">
      <pivotArea type="data" outline="0" fieldPosition="0">
        <references count="2">
          <reference field="4294967294" count="1" selected="0">
            <x v="0"/>
          </reference>
          <reference field="5" count="1" selected="0">
            <x v="3"/>
          </reference>
        </references>
      </pivotArea>
    </chartFormat>
    <chartFormat chart="5" format="15">
      <pivotArea type="data" outline="0" fieldPosition="0">
        <references count="2">
          <reference field="4294967294" count="1" selected="0">
            <x v="0"/>
          </reference>
          <reference field="5" count="1" selected="0">
            <x v="4"/>
          </reference>
        </references>
      </pivotArea>
    </chartFormat>
    <chartFormat chart="5" format="16">
      <pivotArea type="data" outline="0" fieldPosition="0">
        <references count="2">
          <reference field="4294967294" count="1" selected="0">
            <x v="0"/>
          </reference>
          <reference field="5" count="1" selected="0">
            <x v="5"/>
          </reference>
        </references>
      </pivotArea>
    </chartFormat>
    <chartFormat chart="5" format="17">
      <pivotArea type="data" outline="0" fieldPosition="0">
        <references count="2">
          <reference field="4294967294" count="1" selected="0">
            <x v="0"/>
          </reference>
          <reference field="5" count="1" selected="0">
            <x v="6"/>
          </reference>
        </references>
      </pivotArea>
    </chartFormat>
    <chartFormat chart="5" format="18">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A823E2-1138-4D4C-A239-8B2CB15C895C}"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6" firstHeaderRow="1" firstDataRow="1" firstDataCol="1"/>
  <pivotFields count="11">
    <pivotField dataField="1" showAll="0"/>
    <pivotField showAll="0"/>
    <pivotField showAll="0"/>
    <pivotField axis="axisRow" showAll="0">
      <items count="3">
        <item x="1"/>
        <item x="0"/>
        <item t="default"/>
      </items>
    </pivotField>
    <pivotField showAll="0">
      <items count="11">
        <item x="7"/>
        <item x="5"/>
        <item x="4"/>
        <item x="2"/>
        <item x="8"/>
        <item x="3"/>
        <item x="9"/>
        <item x="1"/>
        <item x="0"/>
        <item x="6"/>
        <item t="default"/>
      </items>
    </pivotField>
    <pivotField showAll="0">
      <items count="9">
        <item x="6"/>
        <item x="5"/>
        <item x="1"/>
        <item x="0"/>
        <item x="2"/>
        <item x="4"/>
        <item x="7"/>
        <item x="3"/>
        <item t="default"/>
      </items>
    </pivotField>
    <pivotField numFmtId="14" showAll="0"/>
    <pivotField showAll="0"/>
    <pivotField numFmtId="14" showAll="0"/>
    <pivotField numFmtId="1" showAll="0"/>
    <pivotField numFmtId="165" showAll="0"/>
  </pivotFields>
  <rowFields count="1">
    <field x="3"/>
  </rowFields>
  <rowItems count="3">
    <i>
      <x/>
    </i>
    <i>
      <x v="1"/>
    </i>
    <i t="grand">
      <x/>
    </i>
  </rowItems>
  <colItems count="1">
    <i/>
  </colItems>
  <dataFields count="1">
    <dataField name="Count of Patient ID" fld="0" subtotal="count" baseField="0" baseItem="0"/>
  </dataFields>
  <chartFormats count="14">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3" count="1" selected="0">
            <x v="0"/>
          </reference>
        </references>
      </pivotArea>
    </chartFormat>
    <chartFormat chart="6" format="3">
      <pivotArea type="data" outline="0" fieldPosition="0">
        <references count="2">
          <reference field="4294967294" count="1" selected="0">
            <x v="0"/>
          </reference>
          <reference field="3"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3" count="1" selected="0">
            <x v="0"/>
          </reference>
        </references>
      </pivotArea>
    </chartFormat>
    <chartFormat chart="7" format="6">
      <pivotArea type="data" outline="0" fieldPosition="0">
        <references count="2">
          <reference field="4294967294" count="1" selected="0">
            <x v="0"/>
          </reference>
          <reference field="3"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3" count="1" selected="0">
            <x v="0"/>
          </reference>
        </references>
      </pivotArea>
    </chartFormat>
    <chartFormat chart="8" format="6">
      <pivotArea type="data" outline="0" fieldPosition="0">
        <references count="2">
          <reference field="4294967294" count="1" selected="0">
            <x v="0"/>
          </reference>
          <reference field="3" count="1" selected="0">
            <x v="1"/>
          </reference>
        </references>
      </pivotArea>
    </chartFormat>
    <chartFormat chart="14"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3" count="1" selected="0">
            <x v="0"/>
          </reference>
        </references>
      </pivotArea>
    </chartFormat>
    <chartFormat chart="17"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2F1F85-6468-478E-8FB9-59512CEB937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1">
    <pivotField dataField="1" showAll="0"/>
    <pivotField showAll="0"/>
    <pivotField showAll="0"/>
    <pivotField showAll="0">
      <items count="3">
        <item x="1"/>
        <item x="0"/>
        <item t="default"/>
      </items>
    </pivotField>
    <pivotField showAll="0">
      <items count="11">
        <item x="7"/>
        <item x="5"/>
        <item x="4"/>
        <item x="2"/>
        <item x="8"/>
        <item x="3"/>
        <item x="9"/>
        <item x="1"/>
        <item x="0"/>
        <item x="6"/>
        <item t="default"/>
      </items>
    </pivotField>
    <pivotField showAll="0">
      <items count="9">
        <item x="6"/>
        <item x="5"/>
        <item x="1"/>
        <item x="0"/>
        <item x="2"/>
        <item x="4"/>
        <item x="7"/>
        <item x="3"/>
        <item t="default"/>
      </items>
    </pivotField>
    <pivotField numFmtId="14" showAll="0"/>
    <pivotField axis="axisRow" showAll="0">
      <items count="13">
        <item x="1"/>
        <item x="3"/>
        <item x="4"/>
        <item x="5"/>
        <item x="6"/>
        <item x="7"/>
        <item x="10"/>
        <item x="8"/>
        <item x="2"/>
        <item x="11"/>
        <item x="9"/>
        <item x="0"/>
        <item t="default"/>
      </items>
    </pivotField>
    <pivotField numFmtId="14" showAll="0"/>
    <pivotField numFmtId="1" showAll="0"/>
    <pivotField numFmtId="165" showAll="0"/>
  </pivotFields>
  <rowFields count="1">
    <field x="7"/>
  </rowFields>
  <rowItems count="13">
    <i>
      <x/>
    </i>
    <i>
      <x v="1"/>
    </i>
    <i>
      <x v="2"/>
    </i>
    <i>
      <x v="3"/>
    </i>
    <i>
      <x v="4"/>
    </i>
    <i>
      <x v="5"/>
    </i>
    <i>
      <x v="6"/>
    </i>
    <i>
      <x v="7"/>
    </i>
    <i>
      <x v="8"/>
    </i>
    <i>
      <x v="9"/>
    </i>
    <i>
      <x v="10"/>
    </i>
    <i>
      <x v="11"/>
    </i>
    <i t="grand">
      <x/>
    </i>
  </rowItems>
  <colItems count="1">
    <i/>
  </colItems>
  <dataFields count="1">
    <dataField name="Count of Patient 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BDB47E2-AA79-48BC-ABC0-641BD22B3642}" sourceName="Gender">
  <pivotTables>
    <pivotTable tabId="6" name="Disease Analysis"/>
    <pivotTable tabId="13" name="PivotTable6"/>
    <pivotTable tabId="16" name="PivotTable8"/>
    <pivotTable tabId="18" name="PivotTable10"/>
    <pivotTable tabId="19" name="PivotTable1"/>
  </pivotTables>
  <data>
    <tabular pivotCacheId="149445667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 xr10:uid="{4C9D83AE-3B80-4C4D-A056-4094A77B8514}" sourceName="Disease">
  <pivotTables>
    <pivotTable tabId="6" name="Disease Analysis"/>
    <pivotTable tabId="13" name="PivotTable6"/>
    <pivotTable tabId="16" name="PivotTable8"/>
    <pivotTable tabId="18" name="PivotTable10"/>
    <pivotTable tabId="19" name="PivotTable1"/>
  </pivotTables>
  <data>
    <tabular pivotCacheId="1494456677">
      <items count="10">
        <i x="7" s="1"/>
        <i x="5" s="1"/>
        <i x="4" s="1"/>
        <i x="2" s="1"/>
        <i x="8" s="1"/>
        <i x="3" s="1"/>
        <i x="9"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2BA465D3-7A4E-4CF6-9E4D-98D3D744C43D}" sourceName="Doctor">
  <pivotTables>
    <pivotTable tabId="6" name="Disease Analysis"/>
    <pivotTable tabId="13" name="PivotTable6"/>
    <pivotTable tabId="16" name="PivotTable8"/>
    <pivotTable tabId="18" name="PivotTable10"/>
    <pivotTable tabId="19" name="PivotTable1"/>
  </pivotTables>
  <data>
    <tabular pivotCacheId="1494456677">
      <items count="8">
        <i x="6" s="1"/>
        <i x="5" s="1"/>
        <i x="1" s="1"/>
        <i x="0" s="1"/>
        <i x="2" s="1"/>
        <i x="4" s="1"/>
        <i x="7"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2567F85-E0AE-4846-B6F3-0E5F98CCCF53}" cache="Slicer_Gender" caption="Gender" rowHeight="234950"/>
  <slicer name="Disease" xr10:uid="{FF465DC0-7A69-4A2E-B87F-5C0AA5F71E9E}" cache="Slicer_Disease" caption="Disease" rowHeight="234950"/>
  <slicer name="Doctor" xr10:uid="{A0FBE47D-041E-46EC-ACB7-F5E662C4934A}" cache="Slicer_Doctor" caption="Docto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4057AE-2C0C-484A-8408-702A87A43BDE}" name="Hospital" displayName="Hospital" ref="A1:K1001" totalsRowShown="0">
  <autoFilter ref="A1:K1001" xr:uid="{044057AE-2C0C-484A-8408-702A87A43BDE}"/>
  <tableColumns count="11">
    <tableColumn id="1" xr3:uid="{98352967-3766-4E82-8BAF-4094102B51DD}" name="Patient ID"/>
    <tableColumn id="2" xr3:uid="{4E243CFE-62EA-4D4F-A986-9242A54C1B4B}" name="Name"/>
    <tableColumn id="3" xr3:uid="{EFBDA425-AF9C-4013-91D7-77A19746D9A8}" name="Age"/>
    <tableColumn id="4" xr3:uid="{B94F32A4-3E63-4195-8965-4BF967FB9494}" name="Gender"/>
    <tableColumn id="5" xr3:uid="{E90D3E8D-F9C0-4A23-B5BF-26EE174A6B37}" name="Disease"/>
    <tableColumn id="6" xr3:uid="{35862ECE-F94C-4ABD-B962-ACDEE3500C82}" name="Doctor"/>
    <tableColumn id="7" xr3:uid="{1E051814-4EFF-4EC5-8A88-0CB0C6B22936}" name="Admission Date" dataDxfId="8"/>
    <tableColumn id="11" xr3:uid="{8A430C37-381E-41C9-B083-E61BD286CB9D}" name="Month" dataDxfId="7">
      <calculatedColumnFormula>TEXT(G2,"mmmm")</calculatedColumnFormula>
    </tableColumn>
    <tableColumn id="8" xr3:uid="{C891C3C2-BAA1-4412-B3F3-742BFA1C7F65}" name="Discharge Date" dataDxfId="6"/>
    <tableColumn id="9" xr3:uid="{6D6E691A-8D6A-42F8-8596-A86805BBD094}" name="Stay Days" dataDxfId="5">
      <calculatedColumnFormula>I2-G2</calculatedColumnFormula>
    </tableColumn>
    <tableColumn id="10" xr3:uid="{59C4855B-1C4F-4394-B1B6-07436F8C9AD7}" name="Bill" dataDxfId="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workbookViewId="0">
      <selection activeCell="E25" sqref="E25"/>
    </sheetView>
  </sheetViews>
  <sheetFormatPr defaultRowHeight="14.4" x14ac:dyDescent="0.3"/>
  <cols>
    <col min="1" max="1" width="9" bestFit="1" customWidth="1"/>
    <col min="2" max="2" width="13.21875" bestFit="1" customWidth="1"/>
    <col min="3" max="3" width="4" bestFit="1" customWidth="1"/>
    <col min="5" max="5" width="12.21875" bestFit="1" customWidth="1"/>
    <col min="6" max="6" width="10" bestFit="1" customWidth="1"/>
    <col min="7" max="7" width="13.6640625" bestFit="1" customWidth="1"/>
    <col min="8" max="8" width="13.33203125" bestFit="1" customWidth="1"/>
    <col min="9" max="9" width="8.77734375" bestFit="1" customWidth="1"/>
    <col min="10" max="10" width="7"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v>56</v>
      </c>
      <c r="D2" t="s">
        <v>12</v>
      </c>
      <c r="E2" t="s">
        <v>13</v>
      </c>
      <c r="F2" t="s">
        <v>14</v>
      </c>
      <c r="G2" s="1">
        <v>45994</v>
      </c>
      <c r="H2" s="1">
        <v>45997</v>
      </c>
      <c r="I2">
        <v>3</v>
      </c>
      <c r="J2">
        <v>17019</v>
      </c>
    </row>
    <row r="3" spans="1:10" x14ac:dyDescent="0.3">
      <c r="A3" t="s">
        <v>15</v>
      </c>
      <c r="B3" t="s">
        <v>16</v>
      </c>
      <c r="C3">
        <v>42</v>
      </c>
      <c r="D3" t="s">
        <v>17</v>
      </c>
      <c r="E3" t="s">
        <v>18</v>
      </c>
      <c r="F3" t="s">
        <v>19</v>
      </c>
      <c r="G3" s="1">
        <v>45668</v>
      </c>
      <c r="H3" s="1">
        <v>45676</v>
      </c>
      <c r="I3">
        <v>8</v>
      </c>
      <c r="J3">
        <v>32528</v>
      </c>
    </row>
    <row r="4" spans="1:10" x14ac:dyDescent="0.3">
      <c r="A4" t="s">
        <v>20</v>
      </c>
      <c r="B4" t="s">
        <v>21</v>
      </c>
      <c r="C4">
        <v>28</v>
      </c>
      <c r="D4" t="s">
        <v>12</v>
      </c>
      <c r="E4" t="s">
        <v>22</v>
      </c>
      <c r="F4" t="s">
        <v>23</v>
      </c>
      <c r="G4" s="1">
        <v>45923</v>
      </c>
      <c r="H4" s="1">
        <v>45936</v>
      </c>
      <c r="I4">
        <v>13</v>
      </c>
      <c r="J4">
        <v>116493</v>
      </c>
    </row>
    <row r="5" spans="1:10" x14ac:dyDescent="0.3">
      <c r="A5" t="s">
        <v>24</v>
      </c>
      <c r="B5" t="s">
        <v>25</v>
      </c>
      <c r="C5">
        <v>2</v>
      </c>
      <c r="D5" t="s">
        <v>17</v>
      </c>
      <c r="E5" t="s">
        <v>26</v>
      </c>
      <c r="F5" t="s">
        <v>27</v>
      </c>
      <c r="G5" s="1">
        <v>45695</v>
      </c>
      <c r="H5" s="1">
        <v>45698</v>
      </c>
      <c r="I5">
        <v>3</v>
      </c>
      <c r="J5">
        <v>21084</v>
      </c>
    </row>
    <row r="6" spans="1:10" x14ac:dyDescent="0.3">
      <c r="A6" t="s">
        <v>28</v>
      </c>
      <c r="B6" t="s">
        <v>29</v>
      </c>
      <c r="C6">
        <v>25</v>
      </c>
      <c r="D6" t="s">
        <v>17</v>
      </c>
      <c r="E6" t="s">
        <v>30</v>
      </c>
      <c r="F6" t="s">
        <v>23</v>
      </c>
      <c r="G6" s="1">
        <v>45718</v>
      </c>
      <c r="H6" s="1">
        <v>45722</v>
      </c>
      <c r="I6">
        <v>4</v>
      </c>
      <c r="J6">
        <v>47036</v>
      </c>
    </row>
    <row r="7" spans="1:10" x14ac:dyDescent="0.3">
      <c r="A7" t="s">
        <v>31</v>
      </c>
      <c r="B7" t="s">
        <v>32</v>
      </c>
      <c r="C7">
        <v>9</v>
      </c>
      <c r="D7" t="s">
        <v>17</v>
      </c>
      <c r="E7" t="s">
        <v>33</v>
      </c>
      <c r="F7" t="s">
        <v>34</v>
      </c>
      <c r="G7" s="1">
        <v>45752</v>
      </c>
      <c r="H7" s="1">
        <v>45759</v>
      </c>
      <c r="I7">
        <v>7</v>
      </c>
      <c r="J7">
        <v>78869</v>
      </c>
    </row>
    <row r="8" spans="1:10" x14ac:dyDescent="0.3">
      <c r="A8" t="s">
        <v>35</v>
      </c>
      <c r="B8" t="s">
        <v>36</v>
      </c>
      <c r="C8">
        <v>4</v>
      </c>
      <c r="D8" t="s">
        <v>17</v>
      </c>
      <c r="E8" t="s">
        <v>26</v>
      </c>
      <c r="F8" t="s">
        <v>34</v>
      </c>
      <c r="G8" s="1">
        <v>45796</v>
      </c>
      <c r="H8" s="1">
        <v>45802</v>
      </c>
      <c r="I8">
        <v>6</v>
      </c>
      <c r="J8">
        <v>54540</v>
      </c>
    </row>
    <row r="9" spans="1:10" x14ac:dyDescent="0.3">
      <c r="A9" t="s">
        <v>37</v>
      </c>
      <c r="B9" t="s">
        <v>38</v>
      </c>
      <c r="C9">
        <v>67</v>
      </c>
      <c r="D9" t="s">
        <v>17</v>
      </c>
      <c r="E9" t="s">
        <v>39</v>
      </c>
      <c r="F9" t="s">
        <v>14</v>
      </c>
      <c r="G9" s="1">
        <v>45754</v>
      </c>
      <c r="H9" s="1">
        <v>45762</v>
      </c>
      <c r="I9">
        <v>8</v>
      </c>
      <c r="J9">
        <v>50416</v>
      </c>
    </row>
    <row r="10" spans="1:10" x14ac:dyDescent="0.3">
      <c r="A10" t="s">
        <v>40</v>
      </c>
      <c r="B10" t="s">
        <v>41</v>
      </c>
      <c r="C10">
        <v>11</v>
      </c>
      <c r="D10" t="s">
        <v>12</v>
      </c>
      <c r="E10" t="s">
        <v>39</v>
      </c>
      <c r="F10" t="s">
        <v>42</v>
      </c>
      <c r="G10" s="1">
        <v>45710</v>
      </c>
      <c r="H10" s="1">
        <v>45713</v>
      </c>
      <c r="I10">
        <v>3</v>
      </c>
      <c r="J10">
        <v>23016</v>
      </c>
    </row>
    <row r="11" spans="1:10" x14ac:dyDescent="0.3">
      <c r="A11" t="s">
        <v>43</v>
      </c>
      <c r="B11" t="s">
        <v>44</v>
      </c>
      <c r="C11">
        <v>31</v>
      </c>
      <c r="D11" t="s">
        <v>12</v>
      </c>
      <c r="E11" t="s">
        <v>45</v>
      </c>
      <c r="F11" t="s">
        <v>42</v>
      </c>
      <c r="G11" s="1">
        <v>45810</v>
      </c>
      <c r="H11" s="1">
        <v>45821</v>
      </c>
      <c r="I11">
        <v>11</v>
      </c>
      <c r="J11">
        <v>72424</v>
      </c>
    </row>
    <row r="12" spans="1:10" x14ac:dyDescent="0.3">
      <c r="A12" t="s">
        <v>46</v>
      </c>
      <c r="B12" t="s">
        <v>47</v>
      </c>
      <c r="C12">
        <v>87</v>
      </c>
      <c r="D12" t="s">
        <v>17</v>
      </c>
      <c r="E12" t="s">
        <v>48</v>
      </c>
      <c r="F12" t="s">
        <v>42</v>
      </c>
      <c r="G12" s="1">
        <v>45803</v>
      </c>
      <c r="H12" s="1">
        <v>45809</v>
      </c>
      <c r="I12">
        <v>6</v>
      </c>
      <c r="J12">
        <v>65796</v>
      </c>
    </row>
    <row r="13" spans="1:10" x14ac:dyDescent="0.3">
      <c r="A13" t="s">
        <v>49</v>
      </c>
      <c r="B13" t="s">
        <v>50</v>
      </c>
      <c r="C13">
        <v>88</v>
      </c>
      <c r="D13" t="s">
        <v>17</v>
      </c>
      <c r="E13" t="s">
        <v>33</v>
      </c>
      <c r="F13" t="s">
        <v>19</v>
      </c>
      <c r="G13" s="1">
        <v>45684</v>
      </c>
      <c r="H13" s="1">
        <v>45685</v>
      </c>
      <c r="I13">
        <v>1</v>
      </c>
      <c r="J13">
        <v>9441</v>
      </c>
    </row>
    <row r="14" spans="1:10" x14ac:dyDescent="0.3">
      <c r="A14" t="s">
        <v>51</v>
      </c>
      <c r="B14" t="s">
        <v>52</v>
      </c>
      <c r="C14">
        <v>73</v>
      </c>
      <c r="D14" t="s">
        <v>12</v>
      </c>
      <c r="E14" t="s">
        <v>39</v>
      </c>
      <c r="F14" t="s">
        <v>27</v>
      </c>
      <c r="G14" s="1">
        <v>45909</v>
      </c>
      <c r="H14" s="1">
        <v>45910</v>
      </c>
      <c r="I14">
        <v>1</v>
      </c>
      <c r="J14">
        <v>8055</v>
      </c>
    </row>
    <row r="15" spans="1:10" x14ac:dyDescent="0.3">
      <c r="A15" t="s">
        <v>53</v>
      </c>
      <c r="B15" t="s">
        <v>54</v>
      </c>
      <c r="C15">
        <v>25</v>
      </c>
      <c r="D15" t="s">
        <v>12</v>
      </c>
      <c r="E15" t="s">
        <v>45</v>
      </c>
      <c r="F15" t="s">
        <v>34</v>
      </c>
      <c r="G15" s="1">
        <v>45875</v>
      </c>
      <c r="H15" s="1">
        <v>45876</v>
      </c>
      <c r="I15">
        <v>1</v>
      </c>
      <c r="J15">
        <v>4070</v>
      </c>
    </row>
    <row r="16" spans="1:10" x14ac:dyDescent="0.3">
      <c r="A16" t="s">
        <v>55</v>
      </c>
      <c r="B16" t="s">
        <v>56</v>
      </c>
      <c r="C16">
        <v>28</v>
      </c>
      <c r="D16" t="s">
        <v>12</v>
      </c>
      <c r="E16" t="s">
        <v>39</v>
      </c>
      <c r="F16" t="s">
        <v>34</v>
      </c>
      <c r="G16" s="1">
        <v>45890</v>
      </c>
      <c r="H16" s="1">
        <v>45902</v>
      </c>
      <c r="I16">
        <v>12</v>
      </c>
      <c r="J16">
        <v>100296</v>
      </c>
    </row>
    <row r="17" spans="1:10" x14ac:dyDescent="0.3">
      <c r="A17" t="s">
        <v>57</v>
      </c>
      <c r="B17" t="s">
        <v>58</v>
      </c>
      <c r="C17">
        <v>20</v>
      </c>
      <c r="D17" t="s">
        <v>12</v>
      </c>
      <c r="E17" t="s">
        <v>18</v>
      </c>
      <c r="F17" t="s">
        <v>59</v>
      </c>
      <c r="G17" s="1">
        <v>45968</v>
      </c>
      <c r="H17" s="1">
        <v>45971</v>
      </c>
      <c r="I17">
        <v>3</v>
      </c>
      <c r="J17">
        <v>30669</v>
      </c>
    </row>
    <row r="18" spans="1:10" x14ac:dyDescent="0.3">
      <c r="A18" t="s">
        <v>60</v>
      </c>
      <c r="B18" t="s">
        <v>61</v>
      </c>
      <c r="C18">
        <v>3</v>
      </c>
      <c r="D18" t="s">
        <v>17</v>
      </c>
      <c r="E18" t="s">
        <v>33</v>
      </c>
      <c r="F18" t="s">
        <v>62</v>
      </c>
      <c r="G18" s="1">
        <v>45799</v>
      </c>
      <c r="H18" s="1">
        <v>45807</v>
      </c>
      <c r="I18">
        <v>8</v>
      </c>
      <c r="J18">
        <v>35360</v>
      </c>
    </row>
    <row r="19" spans="1:10" x14ac:dyDescent="0.3">
      <c r="A19" t="s">
        <v>63</v>
      </c>
      <c r="B19" t="s">
        <v>64</v>
      </c>
      <c r="C19">
        <v>30</v>
      </c>
      <c r="D19" t="s">
        <v>12</v>
      </c>
      <c r="E19" t="s">
        <v>48</v>
      </c>
      <c r="F19" t="s">
        <v>42</v>
      </c>
      <c r="G19" s="1">
        <v>45854</v>
      </c>
      <c r="H19" s="1">
        <v>45861</v>
      </c>
      <c r="I19">
        <v>7</v>
      </c>
      <c r="J19">
        <v>72527</v>
      </c>
    </row>
    <row r="20" spans="1:10" x14ac:dyDescent="0.3">
      <c r="A20" t="s">
        <v>65</v>
      </c>
      <c r="B20" t="s">
        <v>66</v>
      </c>
      <c r="C20">
        <v>24</v>
      </c>
      <c r="D20" t="s">
        <v>17</v>
      </c>
      <c r="E20" t="s">
        <v>48</v>
      </c>
      <c r="F20" t="s">
        <v>23</v>
      </c>
      <c r="G20" s="1">
        <v>45858</v>
      </c>
      <c r="H20" s="1">
        <v>45871</v>
      </c>
      <c r="I20">
        <v>13</v>
      </c>
      <c r="J20">
        <v>140725</v>
      </c>
    </row>
    <row r="21" spans="1:10" x14ac:dyDescent="0.3">
      <c r="A21" t="s">
        <v>67</v>
      </c>
      <c r="B21" t="s">
        <v>68</v>
      </c>
      <c r="C21">
        <v>23</v>
      </c>
      <c r="D21" t="s">
        <v>12</v>
      </c>
      <c r="E21" t="s">
        <v>13</v>
      </c>
      <c r="F21" t="s">
        <v>19</v>
      </c>
      <c r="G21" s="1">
        <v>45868</v>
      </c>
      <c r="H21" s="1">
        <v>45880</v>
      </c>
      <c r="I21">
        <v>12</v>
      </c>
      <c r="J21">
        <v>133740</v>
      </c>
    </row>
    <row r="22" spans="1:10" x14ac:dyDescent="0.3">
      <c r="A22" t="s">
        <v>69</v>
      </c>
      <c r="B22" t="s">
        <v>70</v>
      </c>
      <c r="C22">
        <v>22</v>
      </c>
      <c r="D22" t="s">
        <v>17</v>
      </c>
      <c r="E22" t="s">
        <v>45</v>
      </c>
      <c r="F22" t="s">
        <v>34</v>
      </c>
      <c r="G22" s="1">
        <v>45930</v>
      </c>
      <c r="H22" s="1">
        <v>45935</v>
      </c>
      <c r="I22">
        <v>5</v>
      </c>
      <c r="J22">
        <v>45900</v>
      </c>
    </row>
    <row r="23" spans="1:10" x14ac:dyDescent="0.3">
      <c r="A23" t="s">
        <v>71</v>
      </c>
      <c r="B23" t="s">
        <v>72</v>
      </c>
      <c r="C23">
        <v>48</v>
      </c>
      <c r="D23" t="s">
        <v>17</v>
      </c>
      <c r="E23" t="s">
        <v>26</v>
      </c>
      <c r="F23" t="s">
        <v>19</v>
      </c>
      <c r="G23" s="1">
        <v>45951</v>
      </c>
      <c r="H23" s="1">
        <v>45954</v>
      </c>
      <c r="I23">
        <v>3</v>
      </c>
      <c r="J23">
        <v>28968</v>
      </c>
    </row>
    <row r="24" spans="1:10" x14ac:dyDescent="0.3">
      <c r="A24" t="s">
        <v>73</v>
      </c>
      <c r="B24" t="s">
        <v>74</v>
      </c>
      <c r="C24">
        <v>59</v>
      </c>
      <c r="D24" t="s">
        <v>17</v>
      </c>
      <c r="E24" t="s">
        <v>26</v>
      </c>
      <c r="F24" t="s">
        <v>14</v>
      </c>
      <c r="G24" s="1">
        <v>45919</v>
      </c>
      <c r="H24" s="1">
        <v>45932</v>
      </c>
      <c r="I24">
        <v>13</v>
      </c>
      <c r="J24">
        <v>137761</v>
      </c>
    </row>
    <row r="25" spans="1:10" x14ac:dyDescent="0.3">
      <c r="A25" t="s">
        <v>75</v>
      </c>
      <c r="B25" t="s">
        <v>76</v>
      </c>
      <c r="C25">
        <v>6</v>
      </c>
      <c r="D25" t="s">
        <v>17</v>
      </c>
      <c r="E25" t="s">
        <v>30</v>
      </c>
      <c r="F25" t="s">
        <v>42</v>
      </c>
      <c r="G25" s="1">
        <v>45988</v>
      </c>
      <c r="H25" s="1">
        <v>45994</v>
      </c>
      <c r="I25">
        <v>6</v>
      </c>
      <c r="J25">
        <v>51582</v>
      </c>
    </row>
    <row r="26" spans="1:10" x14ac:dyDescent="0.3">
      <c r="A26" t="s">
        <v>77</v>
      </c>
      <c r="B26" t="s">
        <v>78</v>
      </c>
      <c r="C26">
        <v>88</v>
      </c>
      <c r="D26" t="s">
        <v>12</v>
      </c>
      <c r="E26" t="s">
        <v>45</v>
      </c>
      <c r="F26" t="s">
        <v>27</v>
      </c>
      <c r="G26" s="1">
        <v>45823</v>
      </c>
      <c r="H26" s="1">
        <v>45828</v>
      </c>
      <c r="I26">
        <v>5</v>
      </c>
      <c r="J26">
        <v>50795</v>
      </c>
    </row>
    <row r="27" spans="1:10" x14ac:dyDescent="0.3">
      <c r="A27" t="s">
        <v>79</v>
      </c>
      <c r="B27" t="s">
        <v>36</v>
      </c>
      <c r="C27">
        <v>67</v>
      </c>
      <c r="D27" t="s">
        <v>12</v>
      </c>
      <c r="E27" t="s">
        <v>48</v>
      </c>
      <c r="F27" t="s">
        <v>14</v>
      </c>
      <c r="G27" s="1">
        <v>45680</v>
      </c>
      <c r="H27" s="1">
        <v>45688</v>
      </c>
      <c r="I27">
        <v>8</v>
      </c>
      <c r="J27">
        <v>49008</v>
      </c>
    </row>
    <row r="28" spans="1:10" x14ac:dyDescent="0.3">
      <c r="A28" t="s">
        <v>80</v>
      </c>
      <c r="B28" t="s">
        <v>16</v>
      </c>
      <c r="C28">
        <v>53</v>
      </c>
      <c r="D28" t="s">
        <v>17</v>
      </c>
      <c r="E28" t="s">
        <v>48</v>
      </c>
      <c r="F28" t="s">
        <v>19</v>
      </c>
      <c r="G28" s="1">
        <v>45739</v>
      </c>
      <c r="H28" s="1">
        <v>45741</v>
      </c>
      <c r="I28">
        <v>2</v>
      </c>
      <c r="J28">
        <v>21046</v>
      </c>
    </row>
    <row r="29" spans="1:10" x14ac:dyDescent="0.3">
      <c r="A29" t="s">
        <v>81</v>
      </c>
      <c r="B29" t="s">
        <v>82</v>
      </c>
      <c r="C29">
        <v>28</v>
      </c>
      <c r="D29" t="s">
        <v>17</v>
      </c>
      <c r="E29" t="s">
        <v>48</v>
      </c>
      <c r="F29" t="s">
        <v>23</v>
      </c>
      <c r="G29" s="1">
        <v>45690</v>
      </c>
      <c r="H29" s="1">
        <v>45694</v>
      </c>
      <c r="I29">
        <v>4</v>
      </c>
      <c r="J29">
        <v>47856</v>
      </c>
    </row>
    <row r="30" spans="1:10" x14ac:dyDescent="0.3">
      <c r="A30" t="s">
        <v>83</v>
      </c>
      <c r="B30" t="s">
        <v>84</v>
      </c>
      <c r="C30">
        <v>69</v>
      </c>
      <c r="D30" t="s">
        <v>17</v>
      </c>
      <c r="E30" t="s">
        <v>22</v>
      </c>
      <c r="F30" t="s">
        <v>27</v>
      </c>
      <c r="G30" s="1">
        <v>45681</v>
      </c>
      <c r="H30" s="1">
        <v>45686</v>
      </c>
      <c r="I30">
        <v>5</v>
      </c>
      <c r="J30">
        <v>32990</v>
      </c>
    </row>
    <row r="31" spans="1:10" x14ac:dyDescent="0.3">
      <c r="A31" t="s">
        <v>85</v>
      </c>
      <c r="B31" t="s">
        <v>86</v>
      </c>
      <c r="C31">
        <v>77</v>
      </c>
      <c r="D31" t="s">
        <v>12</v>
      </c>
      <c r="E31" t="s">
        <v>33</v>
      </c>
      <c r="F31" t="s">
        <v>62</v>
      </c>
      <c r="G31" s="1">
        <v>45903</v>
      </c>
      <c r="H31" s="1">
        <v>45914</v>
      </c>
      <c r="I31">
        <v>11</v>
      </c>
      <c r="J31">
        <v>76351</v>
      </c>
    </row>
    <row r="32" spans="1:10" x14ac:dyDescent="0.3">
      <c r="A32" t="s">
        <v>87</v>
      </c>
      <c r="B32" t="s">
        <v>61</v>
      </c>
      <c r="C32">
        <v>83</v>
      </c>
      <c r="D32" t="s">
        <v>12</v>
      </c>
      <c r="E32" t="s">
        <v>48</v>
      </c>
      <c r="F32" t="s">
        <v>34</v>
      </c>
      <c r="G32" s="1">
        <v>45748</v>
      </c>
      <c r="H32" s="1">
        <v>45749</v>
      </c>
      <c r="I32">
        <v>1</v>
      </c>
      <c r="J32">
        <v>5290</v>
      </c>
    </row>
    <row r="33" spans="1:10" x14ac:dyDescent="0.3">
      <c r="A33" t="s">
        <v>88</v>
      </c>
      <c r="B33" t="s">
        <v>89</v>
      </c>
      <c r="C33">
        <v>73</v>
      </c>
      <c r="D33" t="s">
        <v>12</v>
      </c>
      <c r="E33" t="s">
        <v>30</v>
      </c>
      <c r="F33" t="s">
        <v>14</v>
      </c>
      <c r="G33" s="1">
        <v>45766</v>
      </c>
      <c r="H33" s="1">
        <v>45771</v>
      </c>
      <c r="I33">
        <v>5</v>
      </c>
      <c r="J33">
        <v>29410</v>
      </c>
    </row>
    <row r="34" spans="1:10" x14ac:dyDescent="0.3">
      <c r="A34" t="s">
        <v>90</v>
      </c>
      <c r="B34" t="s">
        <v>91</v>
      </c>
      <c r="C34">
        <v>87</v>
      </c>
      <c r="D34" t="s">
        <v>17</v>
      </c>
      <c r="E34" t="s">
        <v>39</v>
      </c>
      <c r="F34" t="s">
        <v>23</v>
      </c>
      <c r="G34" s="1">
        <v>45904</v>
      </c>
      <c r="H34" s="1">
        <v>45919</v>
      </c>
      <c r="I34">
        <v>15</v>
      </c>
      <c r="J34">
        <v>169050</v>
      </c>
    </row>
    <row r="35" spans="1:10" x14ac:dyDescent="0.3">
      <c r="A35" t="s">
        <v>92</v>
      </c>
      <c r="B35" t="s">
        <v>93</v>
      </c>
      <c r="C35">
        <v>36</v>
      </c>
      <c r="D35" t="s">
        <v>12</v>
      </c>
      <c r="E35" t="s">
        <v>33</v>
      </c>
      <c r="F35" t="s">
        <v>23</v>
      </c>
      <c r="G35" s="1">
        <v>45916</v>
      </c>
      <c r="H35" s="1">
        <v>45927</v>
      </c>
      <c r="I35">
        <v>11</v>
      </c>
      <c r="J35">
        <v>83446</v>
      </c>
    </row>
    <row r="36" spans="1:10" x14ac:dyDescent="0.3">
      <c r="A36" t="s">
        <v>94</v>
      </c>
      <c r="B36" t="s">
        <v>41</v>
      </c>
      <c r="C36">
        <v>35</v>
      </c>
      <c r="D36" t="s">
        <v>17</v>
      </c>
      <c r="E36" t="s">
        <v>26</v>
      </c>
      <c r="F36" t="s">
        <v>27</v>
      </c>
      <c r="G36" s="1">
        <v>45971</v>
      </c>
      <c r="H36" s="1">
        <v>45986</v>
      </c>
      <c r="I36">
        <v>15</v>
      </c>
      <c r="J36">
        <v>161385</v>
      </c>
    </row>
    <row r="37" spans="1:10" x14ac:dyDescent="0.3">
      <c r="A37" t="s">
        <v>95</v>
      </c>
      <c r="B37" t="s">
        <v>96</v>
      </c>
      <c r="C37">
        <v>60</v>
      </c>
      <c r="D37" t="s">
        <v>12</v>
      </c>
      <c r="E37" t="s">
        <v>48</v>
      </c>
      <c r="F37" t="s">
        <v>14</v>
      </c>
      <c r="G37" s="1">
        <v>45888</v>
      </c>
      <c r="H37" s="1">
        <v>45892</v>
      </c>
      <c r="I37">
        <v>4</v>
      </c>
      <c r="J37">
        <v>36696</v>
      </c>
    </row>
    <row r="38" spans="1:10" x14ac:dyDescent="0.3">
      <c r="A38" t="s">
        <v>97</v>
      </c>
      <c r="B38" t="s">
        <v>98</v>
      </c>
      <c r="C38">
        <v>62</v>
      </c>
      <c r="D38" t="s">
        <v>17</v>
      </c>
      <c r="E38" t="s">
        <v>48</v>
      </c>
      <c r="F38" t="s">
        <v>14</v>
      </c>
      <c r="G38" s="1">
        <v>45669</v>
      </c>
      <c r="H38" s="1">
        <v>45676</v>
      </c>
      <c r="I38">
        <v>7</v>
      </c>
      <c r="J38">
        <v>64491</v>
      </c>
    </row>
    <row r="39" spans="1:10" x14ac:dyDescent="0.3">
      <c r="A39" t="s">
        <v>99</v>
      </c>
      <c r="B39" t="s">
        <v>100</v>
      </c>
      <c r="C39">
        <v>79</v>
      </c>
      <c r="D39" t="s">
        <v>17</v>
      </c>
      <c r="E39" t="s">
        <v>18</v>
      </c>
      <c r="F39" t="s">
        <v>34</v>
      </c>
      <c r="G39" s="1">
        <v>45767</v>
      </c>
      <c r="H39" s="1">
        <v>45769</v>
      </c>
      <c r="I39">
        <v>2</v>
      </c>
      <c r="J39">
        <v>22200</v>
      </c>
    </row>
    <row r="40" spans="1:10" x14ac:dyDescent="0.3">
      <c r="A40" t="s">
        <v>101</v>
      </c>
      <c r="B40" t="s">
        <v>89</v>
      </c>
      <c r="C40">
        <v>90</v>
      </c>
      <c r="D40" t="s">
        <v>12</v>
      </c>
      <c r="E40" t="s">
        <v>102</v>
      </c>
      <c r="F40" t="s">
        <v>59</v>
      </c>
      <c r="G40" s="1">
        <v>46010</v>
      </c>
      <c r="H40" s="1">
        <v>46011</v>
      </c>
      <c r="I40">
        <v>1</v>
      </c>
      <c r="J40">
        <v>7198</v>
      </c>
    </row>
    <row r="41" spans="1:10" x14ac:dyDescent="0.3">
      <c r="A41" t="s">
        <v>103</v>
      </c>
      <c r="B41" t="s">
        <v>104</v>
      </c>
      <c r="C41">
        <v>8</v>
      </c>
      <c r="D41" t="s">
        <v>17</v>
      </c>
      <c r="E41" t="s">
        <v>22</v>
      </c>
      <c r="F41" t="s">
        <v>42</v>
      </c>
      <c r="G41" s="1">
        <v>45886</v>
      </c>
      <c r="H41" s="1">
        <v>45896</v>
      </c>
      <c r="I41">
        <v>10</v>
      </c>
      <c r="J41">
        <v>116070</v>
      </c>
    </row>
    <row r="42" spans="1:10" x14ac:dyDescent="0.3">
      <c r="A42" t="s">
        <v>105</v>
      </c>
      <c r="B42" t="s">
        <v>70</v>
      </c>
      <c r="C42">
        <v>81</v>
      </c>
      <c r="D42" t="s">
        <v>17</v>
      </c>
      <c r="E42" t="s">
        <v>26</v>
      </c>
      <c r="F42" t="s">
        <v>34</v>
      </c>
      <c r="G42" s="1">
        <v>45685</v>
      </c>
      <c r="H42" s="1">
        <v>45690</v>
      </c>
      <c r="I42">
        <v>5</v>
      </c>
      <c r="J42">
        <v>45295</v>
      </c>
    </row>
    <row r="43" spans="1:10" x14ac:dyDescent="0.3">
      <c r="A43" t="s">
        <v>106</v>
      </c>
      <c r="B43" t="s">
        <v>107</v>
      </c>
      <c r="C43">
        <v>61</v>
      </c>
      <c r="D43" t="s">
        <v>12</v>
      </c>
      <c r="E43" t="s">
        <v>45</v>
      </c>
      <c r="F43" t="s">
        <v>42</v>
      </c>
      <c r="G43" s="1">
        <v>45667</v>
      </c>
      <c r="H43" s="1">
        <v>45673</v>
      </c>
      <c r="I43">
        <v>6</v>
      </c>
      <c r="J43">
        <v>46962</v>
      </c>
    </row>
    <row r="44" spans="1:10" x14ac:dyDescent="0.3">
      <c r="A44" t="s">
        <v>108</v>
      </c>
      <c r="B44" t="s">
        <v>109</v>
      </c>
      <c r="C44">
        <v>10</v>
      </c>
      <c r="D44" t="s">
        <v>17</v>
      </c>
      <c r="E44" t="s">
        <v>22</v>
      </c>
      <c r="F44" t="s">
        <v>34</v>
      </c>
      <c r="G44" s="1">
        <v>45835</v>
      </c>
      <c r="H44" s="1">
        <v>45846</v>
      </c>
      <c r="I44">
        <v>11</v>
      </c>
      <c r="J44">
        <v>58355</v>
      </c>
    </row>
    <row r="45" spans="1:10" x14ac:dyDescent="0.3">
      <c r="A45" t="s">
        <v>110</v>
      </c>
      <c r="B45" t="s">
        <v>64</v>
      </c>
      <c r="C45">
        <v>68</v>
      </c>
      <c r="D45" t="s">
        <v>17</v>
      </c>
      <c r="E45" t="s">
        <v>102</v>
      </c>
      <c r="F45" t="s">
        <v>27</v>
      </c>
      <c r="G45" s="1">
        <v>45865</v>
      </c>
      <c r="H45" s="1">
        <v>45869</v>
      </c>
      <c r="I45">
        <v>4</v>
      </c>
      <c r="J45">
        <v>36504</v>
      </c>
    </row>
    <row r="46" spans="1:10" x14ac:dyDescent="0.3">
      <c r="A46" t="s">
        <v>111</v>
      </c>
      <c r="B46" t="s">
        <v>112</v>
      </c>
      <c r="C46">
        <v>21</v>
      </c>
      <c r="D46" t="s">
        <v>12</v>
      </c>
      <c r="E46" t="s">
        <v>39</v>
      </c>
      <c r="F46" t="s">
        <v>27</v>
      </c>
      <c r="G46" s="1">
        <v>45975</v>
      </c>
      <c r="H46" s="1">
        <v>45979</v>
      </c>
      <c r="I46">
        <v>4</v>
      </c>
      <c r="J46">
        <v>16600</v>
      </c>
    </row>
    <row r="47" spans="1:10" x14ac:dyDescent="0.3">
      <c r="A47" t="s">
        <v>113</v>
      </c>
      <c r="B47" t="s">
        <v>114</v>
      </c>
      <c r="C47">
        <v>34</v>
      </c>
      <c r="D47" t="s">
        <v>17</v>
      </c>
      <c r="E47" t="s">
        <v>33</v>
      </c>
      <c r="F47" t="s">
        <v>34</v>
      </c>
      <c r="G47" s="1">
        <v>45704</v>
      </c>
      <c r="H47" s="1">
        <v>45711</v>
      </c>
      <c r="I47">
        <v>7</v>
      </c>
      <c r="J47">
        <v>78148</v>
      </c>
    </row>
    <row r="48" spans="1:10" x14ac:dyDescent="0.3">
      <c r="A48" t="s">
        <v>115</v>
      </c>
      <c r="B48" t="s">
        <v>116</v>
      </c>
      <c r="C48">
        <v>22</v>
      </c>
      <c r="D48" t="s">
        <v>12</v>
      </c>
      <c r="E48" t="s">
        <v>33</v>
      </c>
      <c r="F48" t="s">
        <v>62</v>
      </c>
      <c r="G48" s="1">
        <v>45801</v>
      </c>
      <c r="H48" s="1">
        <v>45809</v>
      </c>
      <c r="I48">
        <v>8</v>
      </c>
      <c r="J48">
        <v>41192</v>
      </c>
    </row>
    <row r="49" spans="1:10" x14ac:dyDescent="0.3">
      <c r="A49" t="s">
        <v>117</v>
      </c>
      <c r="B49" t="s">
        <v>118</v>
      </c>
      <c r="C49">
        <v>71</v>
      </c>
      <c r="D49" t="s">
        <v>17</v>
      </c>
      <c r="E49" t="s">
        <v>26</v>
      </c>
      <c r="F49" t="s">
        <v>19</v>
      </c>
      <c r="G49" s="1">
        <v>45898</v>
      </c>
      <c r="H49" s="1">
        <v>45912</v>
      </c>
      <c r="I49">
        <v>14</v>
      </c>
      <c r="J49">
        <v>65142</v>
      </c>
    </row>
    <row r="50" spans="1:10" x14ac:dyDescent="0.3">
      <c r="A50" t="s">
        <v>119</v>
      </c>
      <c r="B50" t="s">
        <v>120</v>
      </c>
      <c r="C50">
        <v>28</v>
      </c>
      <c r="D50" t="s">
        <v>17</v>
      </c>
      <c r="E50" t="s">
        <v>30</v>
      </c>
      <c r="F50" t="s">
        <v>14</v>
      </c>
      <c r="G50" s="1">
        <v>45665</v>
      </c>
      <c r="H50" s="1">
        <v>45667</v>
      </c>
      <c r="I50">
        <v>2</v>
      </c>
      <c r="J50">
        <v>8162</v>
      </c>
    </row>
    <row r="51" spans="1:10" x14ac:dyDescent="0.3">
      <c r="A51" t="s">
        <v>121</v>
      </c>
      <c r="B51" t="s">
        <v>78</v>
      </c>
      <c r="C51">
        <v>40</v>
      </c>
      <c r="D51" t="s">
        <v>17</v>
      </c>
      <c r="E51" t="s">
        <v>18</v>
      </c>
      <c r="F51" t="s">
        <v>42</v>
      </c>
      <c r="G51" s="1">
        <v>45995</v>
      </c>
      <c r="H51" s="1">
        <v>45999</v>
      </c>
      <c r="I51">
        <v>4</v>
      </c>
      <c r="J51">
        <v>24028</v>
      </c>
    </row>
    <row r="52" spans="1:10" x14ac:dyDescent="0.3">
      <c r="A52" t="s">
        <v>122</v>
      </c>
      <c r="B52" t="s">
        <v>123</v>
      </c>
      <c r="C52">
        <v>75</v>
      </c>
      <c r="D52" t="s">
        <v>17</v>
      </c>
      <c r="E52" t="s">
        <v>45</v>
      </c>
      <c r="F52" t="s">
        <v>34</v>
      </c>
      <c r="G52" s="1">
        <v>45922</v>
      </c>
      <c r="H52" s="1">
        <v>45925</v>
      </c>
      <c r="I52">
        <v>3</v>
      </c>
      <c r="J52">
        <v>33387</v>
      </c>
    </row>
    <row r="53" spans="1:10" x14ac:dyDescent="0.3">
      <c r="A53" t="s">
        <v>124</v>
      </c>
      <c r="B53" t="s">
        <v>125</v>
      </c>
      <c r="C53">
        <v>39</v>
      </c>
      <c r="D53" t="s">
        <v>17</v>
      </c>
      <c r="E53" t="s">
        <v>26</v>
      </c>
      <c r="F53" t="s">
        <v>27</v>
      </c>
      <c r="G53" s="1">
        <v>46006</v>
      </c>
      <c r="H53" s="1">
        <v>46016</v>
      </c>
      <c r="I53">
        <v>10</v>
      </c>
      <c r="J53">
        <v>70540</v>
      </c>
    </row>
    <row r="54" spans="1:10" x14ac:dyDescent="0.3">
      <c r="A54" t="s">
        <v>126</v>
      </c>
      <c r="B54" t="s">
        <v>127</v>
      </c>
      <c r="C54">
        <v>36</v>
      </c>
      <c r="D54" t="s">
        <v>12</v>
      </c>
      <c r="E54" t="s">
        <v>39</v>
      </c>
      <c r="F54" t="s">
        <v>14</v>
      </c>
      <c r="G54" s="1">
        <v>45925</v>
      </c>
      <c r="H54" s="1">
        <v>45940</v>
      </c>
      <c r="I54">
        <v>15</v>
      </c>
      <c r="J54">
        <v>161925</v>
      </c>
    </row>
    <row r="55" spans="1:10" x14ac:dyDescent="0.3">
      <c r="A55" t="s">
        <v>128</v>
      </c>
      <c r="B55" t="s">
        <v>109</v>
      </c>
      <c r="C55">
        <v>73</v>
      </c>
      <c r="D55" t="s">
        <v>12</v>
      </c>
      <c r="E55" t="s">
        <v>26</v>
      </c>
      <c r="F55" t="s">
        <v>62</v>
      </c>
      <c r="G55" s="1">
        <v>45944</v>
      </c>
      <c r="H55" s="1">
        <v>45947</v>
      </c>
      <c r="I55">
        <v>3</v>
      </c>
      <c r="J55">
        <v>32340</v>
      </c>
    </row>
    <row r="56" spans="1:10" x14ac:dyDescent="0.3">
      <c r="A56" t="s">
        <v>129</v>
      </c>
      <c r="B56" t="s">
        <v>130</v>
      </c>
      <c r="C56">
        <v>79</v>
      </c>
      <c r="D56" t="s">
        <v>17</v>
      </c>
      <c r="E56" t="s">
        <v>30</v>
      </c>
      <c r="F56" t="s">
        <v>42</v>
      </c>
      <c r="G56" s="1">
        <v>45809</v>
      </c>
      <c r="H56" s="1">
        <v>45822</v>
      </c>
      <c r="I56">
        <v>13</v>
      </c>
      <c r="J56">
        <v>98137</v>
      </c>
    </row>
    <row r="57" spans="1:10" x14ac:dyDescent="0.3">
      <c r="A57" t="s">
        <v>131</v>
      </c>
      <c r="B57" t="s">
        <v>132</v>
      </c>
      <c r="C57">
        <v>65</v>
      </c>
      <c r="D57" t="s">
        <v>12</v>
      </c>
      <c r="E57" t="s">
        <v>26</v>
      </c>
      <c r="F57" t="s">
        <v>23</v>
      </c>
      <c r="G57" s="1">
        <v>45763</v>
      </c>
      <c r="H57" s="1">
        <v>45765</v>
      </c>
      <c r="I57">
        <v>2</v>
      </c>
      <c r="J57">
        <v>17530</v>
      </c>
    </row>
    <row r="58" spans="1:10" x14ac:dyDescent="0.3">
      <c r="A58" t="s">
        <v>133</v>
      </c>
      <c r="B58" t="s">
        <v>134</v>
      </c>
      <c r="C58">
        <v>81</v>
      </c>
      <c r="D58" t="s">
        <v>12</v>
      </c>
      <c r="E58" t="s">
        <v>26</v>
      </c>
      <c r="F58" t="s">
        <v>34</v>
      </c>
      <c r="G58" s="1">
        <v>45721</v>
      </c>
      <c r="H58" s="1">
        <v>45723</v>
      </c>
      <c r="I58">
        <v>2</v>
      </c>
      <c r="J58">
        <v>13930</v>
      </c>
    </row>
    <row r="59" spans="1:10" x14ac:dyDescent="0.3">
      <c r="A59" t="s">
        <v>135</v>
      </c>
      <c r="B59" t="s">
        <v>107</v>
      </c>
      <c r="C59">
        <v>52</v>
      </c>
      <c r="D59" t="s">
        <v>17</v>
      </c>
      <c r="E59" t="s">
        <v>18</v>
      </c>
      <c r="F59" t="s">
        <v>27</v>
      </c>
      <c r="G59" s="1">
        <v>45736</v>
      </c>
      <c r="H59" s="1">
        <v>45749</v>
      </c>
      <c r="I59">
        <v>13</v>
      </c>
      <c r="J59">
        <v>125242</v>
      </c>
    </row>
    <row r="60" spans="1:10" x14ac:dyDescent="0.3">
      <c r="A60" t="s">
        <v>136</v>
      </c>
      <c r="B60" t="s">
        <v>137</v>
      </c>
      <c r="C60">
        <v>61</v>
      </c>
      <c r="D60" t="s">
        <v>17</v>
      </c>
      <c r="E60" t="s">
        <v>102</v>
      </c>
      <c r="F60" t="s">
        <v>34</v>
      </c>
      <c r="G60" s="1">
        <v>45800</v>
      </c>
      <c r="H60" s="1">
        <v>45806</v>
      </c>
      <c r="I60">
        <v>6</v>
      </c>
      <c r="J60">
        <v>45582</v>
      </c>
    </row>
    <row r="61" spans="1:10" x14ac:dyDescent="0.3">
      <c r="A61" t="s">
        <v>138</v>
      </c>
      <c r="B61" t="s">
        <v>139</v>
      </c>
      <c r="C61">
        <v>48</v>
      </c>
      <c r="D61" t="s">
        <v>12</v>
      </c>
      <c r="E61" t="s">
        <v>48</v>
      </c>
      <c r="F61" t="s">
        <v>34</v>
      </c>
      <c r="G61" s="1">
        <v>45693</v>
      </c>
      <c r="H61" s="1">
        <v>45708</v>
      </c>
      <c r="I61">
        <v>15</v>
      </c>
      <c r="J61">
        <v>127710</v>
      </c>
    </row>
    <row r="62" spans="1:10" x14ac:dyDescent="0.3">
      <c r="A62" t="s">
        <v>140</v>
      </c>
      <c r="B62" t="s">
        <v>123</v>
      </c>
      <c r="C62">
        <v>29</v>
      </c>
      <c r="D62" t="s">
        <v>12</v>
      </c>
      <c r="E62" t="s">
        <v>33</v>
      </c>
      <c r="F62" t="s">
        <v>23</v>
      </c>
      <c r="G62" s="1">
        <v>45794</v>
      </c>
      <c r="H62" s="1">
        <v>45796</v>
      </c>
      <c r="I62">
        <v>2</v>
      </c>
      <c r="J62">
        <v>10778</v>
      </c>
    </row>
    <row r="63" spans="1:10" x14ac:dyDescent="0.3">
      <c r="A63" t="s">
        <v>141</v>
      </c>
      <c r="B63" t="s">
        <v>142</v>
      </c>
      <c r="C63">
        <v>19</v>
      </c>
      <c r="D63" t="s">
        <v>17</v>
      </c>
      <c r="E63" t="s">
        <v>22</v>
      </c>
      <c r="F63" t="s">
        <v>59</v>
      </c>
      <c r="G63" s="1">
        <v>45980</v>
      </c>
      <c r="H63" s="1">
        <v>45994</v>
      </c>
      <c r="I63">
        <v>14</v>
      </c>
      <c r="J63">
        <v>154966</v>
      </c>
    </row>
    <row r="64" spans="1:10" x14ac:dyDescent="0.3">
      <c r="A64" t="s">
        <v>143</v>
      </c>
      <c r="B64" t="s">
        <v>144</v>
      </c>
      <c r="C64">
        <v>49</v>
      </c>
      <c r="D64" t="s">
        <v>12</v>
      </c>
      <c r="E64" t="s">
        <v>18</v>
      </c>
      <c r="F64" t="s">
        <v>23</v>
      </c>
      <c r="G64" s="1">
        <v>45695</v>
      </c>
      <c r="H64" s="1">
        <v>45698</v>
      </c>
      <c r="I64">
        <v>3</v>
      </c>
      <c r="J64">
        <v>35943</v>
      </c>
    </row>
    <row r="65" spans="1:10" x14ac:dyDescent="0.3">
      <c r="A65" t="s">
        <v>145</v>
      </c>
      <c r="B65" t="s">
        <v>146</v>
      </c>
      <c r="C65">
        <v>39</v>
      </c>
      <c r="D65" t="s">
        <v>17</v>
      </c>
      <c r="E65" t="s">
        <v>26</v>
      </c>
      <c r="F65" t="s">
        <v>62</v>
      </c>
      <c r="G65" s="1">
        <v>45690</v>
      </c>
      <c r="H65" s="1">
        <v>45699</v>
      </c>
      <c r="I65">
        <v>9</v>
      </c>
      <c r="J65">
        <v>43083</v>
      </c>
    </row>
    <row r="66" spans="1:10" x14ac:dyDescent="0.3">
      <c r="A66" t="s">
        <v>147</v>
      </c>
      <c r="B66" t="s">
        <v>148</v>
      </c>
      <c r="C66">
        <v>89</v>
      </c>
      <c r="D66" t="s">
        <v>12</v>
      </c>
      <c r="E66" t="s">
        <v>102</v>
      </c>
      <c r="F66" t="s">
        <v>27</v>
      </c>
      <c r="G66" s="1">
        <v>45891</v>
      </c>
      <c r="H66" s="1">
        <v>45896</v>
      </c>
      <c r="I66">
        <v>5</v>
      </c>
      <c r="J66">
        <v>47870</v>
      </c>
    </row>
    <row r="67" spans="1:10" x14ac:dyDescent="0.3">
      <c r="A67" t="s">
        <v>149</v>
      </c>
      <c r="B67" t="s">
        <v>134</v>
      </c>
      <c r="C67">
        <v>66</v>
      </c>
      <c r="D67" t="s">
        <v>12</v>
      </c>
      <c r="E67" t="s">
        <v>30</v>
      </c>
      <c r="F67" t="s">
        <v>19</v>
      </c>
      <c r="G67" s="1">
        <v>45664</v>
      </c>
      <c r="H67" s="1">
        <v>45666</v>
      </c>
      <c r="I67">
        <v>2</v>
      </c>
      <c r="J67">
        <v>19432</v>
      </c>
    </row>
    <row r="68" spans="1:10" x14ac:dyDescent="0.3">
      <c r="A68" t="s">
        <v>150</v>
      </c>
      <c r="B68" t="s">
        <v>151</v>
      </c>
      <c r="C68">
        <v>62</v>
      </c>
      <c r="D68" t="s">
        <v>17</v>
      </c>
      <c r="E68" t="s">
        <v>48</v>
      </c>
      <c r="F68" t="s">
        <v>19</v>
      </c>
      <c r="G68" s="1">
        <v>45863</v>
      </c>
      <c r="H68" s="1">
        <v>45868</v>
      </c>
      <c r="I68">
        <v>5</v>
      </c>
      <c r="J68">
        <v>44215</v>
      </c>
    </row>
    <row r="69" spans="1:10" x14ac:dyDescent="0.3">
      <c r="A69" t="s">
        <v>152</v>
      </c>
      <c r="B69" t="s">
        <v>52</v>
      </c>
      <c r="C69">
        <v>18</v>
      </c>
      <c r="D69" t="s">
        <v>12</v>
      </c>
      <c r="E69" t="s">
        <v>33</v>
      </c>
      <c r="F69" t="s">
        <v>23</v>
      </c>
      <c r="G69" s="1">
        <v>45936</v>
      </c>
      <c r="H69" s="1">
        <v>45938</v>
      </c>
      <c r="I69">
        <v>2</v>
      </c>
      <c r="J69">
        <v>16430</v>
      </c>
    </row>
    <row r="70" spans="1:10" x14ac:dyDescent="0.3">
      <c r="A70" t="s">
        <v>153</v>
      </c>
      <c r="B70" t="s">
        <v>154</v>
      </c>
      <c r="C70">
        <v>23</v>
      </c>
      <c r="D70" t="s">
        <v>12</v>
      </c>
      <c r="E70" t="s">
        <v>48</v>
      </c>
      <c r="F70" t="s">
        <v>59</v>
      </c>
      <c r="G70" s="1">
        <v>45868</v>
      </c>
      <c r="H70" s="1">
        <v>45879</v>
      </c>
      <c r="I70">
        <v>11</v>
      </c>
      <c r="J70">
        <v>85393</v>
      </c>
    </row>
    <row r="71" spans="1:10" x14ac:dyDescent="0.3">
      <c r="A71" t="s">
        <v>155</v>
      </c>
      <c r="B71" t="s">
        <v>156</v>
      </c>
      <c r="C71">
        <v>20</v>
      </c>
      <c r="D71" t="s">
        <v>17</v>
      </c>
      <c r="E71" t="s">
        <v>39</v>
      </c>
      <c r="F71" t="s">
        <v>23</v>
      </c>
      <c r="G71" s="1">
        <v>46005</v>
      </c>
      <c r="H71" s="1">
        <v>46012</v>
      </c>
      <c r="I71">
        <v>7</v>
      </c>
      <c r="J71">
        <v>50498</v>
      </c>
    </row>
    <row r="72" spans="1:10" x14ac:dyDescent="0.3">
      <c r="A72" t="s">
        <v>157</v>
      </c>
      <c r="B72" t="s">
        <v>158</v>
      </c>
      <c r="C72">
        <v>48</v>
      </c>
      <c r="D72" t="s">
        <v>12</v>
      </c>
      <c r="E72" t="s">
        <v>45</v>
      </c>
      <c r="F72" t="s">
        <v>14</v>
      </c>
      <c r="G72" s="1">
        <v>45680</v>
      </c>
      <c r="H72" s="1">
        <v>45695</v>
      </c>
      <c r="I72">
        <v>15</v>
      </c>
      <c r="J72">
        <v>74100</v>
      </c>
    </row>
    <row r="73" spans="1:10" x14ac:dyDescent="0.3">
      <c r="A73" t="s">
        <v>159</v>
      </c>
      <c r="B73" t="s">
        <v>160</v>
      </c>
      <c r="C73">
        <v>47</v>
      </c>
      <c r="D73" t="s">
        <v>17</v>
      </c>
      <c r="E73" t="s">
        <v>48</v>
      </c>
      <c r="F73" t="s">
        <v>34</v>
      </c>
      <c r="G73" s="1">
        <v>45832</v>
      </c>
      <c r="H73" s="1">
        <v>45847</v>
      </c>
      <c r="I73">
        <v>15</v>
      </c>
      <c r="J73">
        <v>163695</v>
      </c>
    </row>
    <row r="74" spans="1:10" x14ac:dyDescent="0.3">
      <c r="A74" t="s">
        <v>161</v>
      </c>
      <c r="B74" t="s">
        <v>162</v>
      </c>
      <c r="C74">
        <v>80</v>
      </c>
      <c r="D74" t="s">
        <v>17</v>
      </c>
      <c r="E74" t="s">
        <v>30</v>
      </c>
      <c r="F74" t="s">
        <v>34</v>
      </c>
      <c r="G74" s="1">
        <v>45917</v>
      </c>
      <c r="H74" s="1">
        <v>45924</v>
      </c>
      <c r="I74">
        <v>7</v>
      </c>
      <c r="J74">
        <v>49623</v>
      </c>
    </row>
    <row r="75" spans="1:10" x14ac:dyDescent="0.3">
      <c r="A75" t="s">
        <v>163</v>
      </c>
      <c r="B75" t="s">
        <v>164</v>
      </c>
      <c r="C75">
        <v>81</v>
      </c>
      <c r="D75" t="s">
        <v>17</v>
      </c>
      <c r="E75" t="s">
        <v>33</v>
      </c>
      <c r="F75" t="s">
        <v>19</v>
      </c>
      <c r="G75" s="1">
        <v>45697</v>
      </c>
      <c r="H75" s="1">
        <v>45710</v>
      </c>
      <c r="I75">
        <v>13</v>
      </c>
      <c r="J75">
        <v>129142</v>
      </c>
    </row>
    <row r="76" spans="1:10" x14ac:dyDescent="0.3">
      <c r="A76" t="s">
        <v>165</v>
      </c>
      <c r="B76" t="s">
        <v>114</v>
      </c>
      <c r="C76">
        <v>76</v>
      </c>
      <c r="D76" t="s">
        <v>12</v>
      </c>
      <c r="E76" t="s">
        <v>13</v>
      </c>
      <c r="F76" t="s">
        <v>34</v>
      </c>
      <c r="G76" s="1">
        <v>45906</v>
      </c>
      <c r="H76" s="1">
        <v>45912</v>
      </c>
      <c r="I76">
        <v>6</v>
      </c>
      <c r="J76">
        <v>55662</v>
      </c>
    </row>
    <row r="77" spans="1:10" x14ac:dyDescent="0.3">
      <c r="A77" t="s">
        <v>166</v>
      </c>
      <c r="B77" t="s">
        <v>132</v>
      </c>
      <c r="C77">
        <v>63</v>
      </c>
      <c r="D77" t="s">
        <v>12</v>
      </c>
      <c r="E77" t="s">
        <v>48</v>
      </c>
      <c r="F77" t="s">
        <v>27</v>
      </c>
      <c r="G77" s="1">
        <v>45881</v>
      </c>
      <c r="H77" s="1">
        <v>45883</v>
      </c>
      <c r="I77">
        <v>2</v>
      </c>
      <c r="J77">
        <v>10664</v>
      </c>
    </row>
    <row r="78" spans="1:10" x14ac:dyDescent="0.3">
      <c r="A78" t="s">
        <v>167</v>
      </c>
      <c r="B78" t="s">
        <v>168</v>
      </c>
      <c r="C78">
        <v>68</v>
      </c>
      <c r="D78" t="s">
        <v>12</v>
      </c>
      <c r="E78" t="s">
        <v>39</v>
      </c>
      <c r="F78" t="s">
        <v>34</v>
      </c>
      <c r="G78" s="1">
        <v>45673</v>
      </c>
      <c r="H78" s="1">
        <v>45686</v>
      </c>
      <c r="I78">
        <v>13</v>
      </c>
      <c r="J78">
        <v>75504</v>
      </c>
    </row>
    <row r="79" spans="1:10" x14ac:dyDescent="0.3">
      <c r="A79" t="s">
        <v>169</v>
      </c>
      <c r="B79" t="s">
        <v>98</v>
      </c>
      <c r="C79">
        <v>78</v>
      </c>
      <c r="D79" t="s">
        <v>12</v>
      </c>
      <c r="E79" t="s">
        <v>39</v>
      </c>
      <c r="F79" t="s">
        <v>59</v>
      </c>
      <c r="G79" s="1">
        <v>45714</v>
      </c>
      <c r="H79" s="1">
        <v>45729</v>
      </c>
      <c r="I79">
        <v>15</v>
      </c>
      <c r="J79">
        <v>148350</v>
      </c>
    </row>
    <row r="80" spans="1:10" x14ac:dyDescent="0.3">
      <c r="A80" t="s">
        <v>170</v>
      </c>
      <c r="B80" t="s">
        <v>171</v>
      </c>
      <c r="C80">
        <v>13</v>
      </c>
      <c r="D80" t="s">
        <v>12</v>
      </c>
      <c r="E80" t="s">
        <v>45</v>
      </c>
      <c r="F80" t="s">
        <v>27</v>
      </c>
      <c r="G80" s="1">
        <v>45865</v>
      </c>
      <c r="H80" s="1">
        <v>45867</v>
      </c>
      <c r="I80">
        <v>2</v>
      </c>
      <c r="J80">
        <v>21730</v>
      </c>
    </row>
    <row r="81" spans="1:10" x14ac:dyDescent="0.3">
      <c r="A81" t="s">
        <v>172</v>
      </c>
      <c r="B81" t="s">
        <v>32</v>
      </c>
      <c r="C81">
        <v>56</v>
      </c>
      <c r="D81" t="s">
        <v>12</v>
      </c>
      <c r="E81" t="s">
        <v>48</v>
      </c>
      <c r="F81" t="s">
        <v>42</v>
      </c>
      <c r="G81" s="1">
        <v>45943</v>
      </c>
      <c r="H81" s="1">
        <v>45946</v>
      </c>
      <c r="I81">
        <v>3</v>
      </c>
      <c r="J81">
        <v>17433</v>
      </c>
    </row>
    <row r="82" spans="1:10" x14ac:dyDescent="0.3">
      <c r="A82" t="s">
        <v>173</v>
      </c>
      <c r="B82" t="s">
        <v>86</v>
      </c>
      <c r="C82">
        <v>50</v>
      </c>
      <c r="D82" t="s">
        <v>12</v>
      </c>
      <c r="E82" t="s">
        <v>45</v>
      </c>
      <c r="F82" t="s">
        <v>19</v>
      </c>
      <c r="G82" s="1">
        <v>45936</v>
      </c>
      <c r="H82" s="1">
        <v>45948</v>
      </c>
      <c r="I82">
        <v>12</v>
      </c>
      <c r="J82">
        <v>138456</v>
      </c>
    </row>
    <row r="83" spans="1:10" x14ac:dyDescent="0.3">
      <c r="A83" t="s">
        <v>174</v>
      </c>
      <c r="B83" t="s">
        <v>107</v>
      </c>
      <c r="C83">
        <v>90</v>
      </c>
      <c r="D83" t="s">
        <v>12</v>
      </c>
      <c r="E83" t="s">
        <v>18</v>
      </c>
      <c r="F83" t="s">
        <v>27</v>
      </c>
      <c r="G83" s="1">
        <v>45983</v>
      </c>
      <c r="H83" s="1">
        <v>45985</v>
      </c>
      <c r="I83">
        <v>2</v>
      </c>
      <c r="J83">
        <v>21558</v>
      </c>
    </row>
    <row r="84" spans="1:10" x14ac:dyDescent="0.3">
      <c r="A84" t="s">
        <v>175</v>
      </c>
      <c r="B84" t="s">
        <v>176</v>
      </c>
      <c r="C84">
        <v>32</v>
      </c>
      <c r="D84" t="s">
        <v>17</v>
      </c>
      <c r="E84" t="s">
        <v>102</v>
      </c>
      <c r="F84" t="s">
        <v>34</v>
      </c>
      <c r="G84" s="1">
        <v>45907</v>
      </c>
      <c r="H84" s="1">
        <v>45922</v>
      </c>
      <c r="I84">
        <v>15</v>
      </c>
      <c r="J84">
        <v>69480</v>
      </c>
    </row>
    <row r="85" spans="1:10" x14ac:dyDescent="0.3">
      <c r="A85" t="s">
        <v>177</v>
      </c>
      <c r="B85" t="s">
        <v>178</v>
      </c>
      <c r="C85">
        <v>31</v>
      </c>
      <c r="D85" t="s">
        <v>12</v>
      </c>
      <c r="E85" t="s">
        <v>22</v>
      </c>
      <c r="F85" t="s">
        <v>42</v>
      </c>
      <c r="G85" s="1">
        <v>45896</v>
      </c>
      <c r="H85" s="1">
        <v>45900</v>
      </c>
      <c r="I85">
        <v>4</v>
      </c>
      <c r="J85">
        <v>30972</v>
      </c>
    </row>
    <row r="86" spans="1:10" x14ac:dyDescent="0.3">
      <c r="A86" t="s">
        <v>179</v>
      </c>
      <c r="B86" t="s">
        <v>127</v>
      </c>
      <c r="C86">
        <v>40</v>
      </c>
      <c r="D86" t="s">
        <v>17</v>
      </c>
      <c r="E86" t="s">
        <v>26</v>
      </c>
      <c r="F86" t="s">
        <v>14</v>
      </c>
      <c r="G86" s="1">
        <v>45817</v>
      </c>
      <c r="H86" s="1">
        <v>45825</v>
      </c>
      <c r="I86">
        <v>8</v>
      </c>
      <c r="J86">
        <v>47360</v>
      </c>
    </row>
    <row r="87" spans="1:10" x14ac:dyDescent="0.3">
      <c r="A87" t="s">
        <v>180</v>
      </c>
      <c r="B87" t="s">
        <v>181</v>
      </c>
      <c r="C87">
        <v>46</v>
      </c>
      <c r="D87" t="s">
        <v>12</v>
      </c>
      <c r="E87" t="s">
        <v>33</v>
      </c>
      <c r="F87" t="s">
        <v>14</v>
      </c>
      <c r="G87" s="1">
        <v>45973</v>
      </c>
      <c r="H87" s="1">
        <v>45975</v>
      </c>
      <c r="I87">
        <v>2</v>
      </c>
      <c r="J87">
        <v>14318</v>
      </c>
    </row>
    <row r="88" spans="1:10" x14ac:dyDescent="0.3">
      <c r="A88" t="s">
        <v>182</v>
      </c>
      <c r="B88" t="s">
        <v>107</v>
      </c>
      <c r="C88">
        <v>38</v>
      </c>
      <c r="D88" t="s">
        <v>17</v>
      </c>
      <c r="E88" t="s">
        <v>33</v>
      </c>
      <c r="F88" t="s">
        <v>42</v>
      </c>
      <c r="G88" s="1">
        <v>45855</v>
      </c>
      <c r="H88" s="1">
        <v>45866</v>
      </c>
      <c r="I88">
        <v>11</v>
      </c>
      <c r="J88">
        <v>45276</v>
      </c>
    </row>
    <row r="89" spans="1:10" x14ac:dyDescent="0.3">
      <c r="A89" t="s">
        <v>183</v>
      </c>
      <c r="B89" t="s">
        <v>168</v>
      </c>
      <c r="C89">
        <v>53</v>
      </c>
      <c r="D89" t="s">
        <v>17</v>
      </c>
      <c r="E89" t="s">
        <v>22</v>
      </c>
      <c r="F89" t="s">
        <v>62</v>
      </c>
      <c r="G89" s="1">
        <v>46012</v>
      </c>
      <c r="H89" s="1">
        <v>46025</v>
      </c>
      <c r="I89">
        <v>13</v>
      </c>
      <c r="J89">
        <v>57122</v>
      </c>
    </row>
    <row r="90" spans="1:10" x14ac:dyDescent="0.3">
      <c r="A90" t="s">
        <v>184</v>
      </c>
      <c r="B90" t="s">
        <v>185</v>
      </c>
      <c r="C90">
        <v>57</v>
      </c>
      <c r="D90" t="s">
        <v>17</v>
      </c>
      <c r="E90" t="s">
        <v>48</v>
      </c>
      <c r="F90" t="s">
        <v>19</v>
      </c>
      <c r="G90" s="1">
        <v>45951</v>
      </c>
      <c r="H90" s="1">
        <v>45961</v>
      </c>
      <c r="I90">
        <v>10</v>
      </c>
      <c r="J90">
        <v>70500</v>
      </c>
    </row>
    <row r="91" spans="1:10" x14ac:dyDescent="0.3">
      <c r="A91" t="s">
        <v>186</v>
      </c>
      <c r="B91" t="s">
        <v>187</v>
      </c>
      <c r="C91">
        <v>74</v>
      </c>
      <c r="D91" t="s">
        <v>12</v>
      </c>
      <c r="E91" t="s">
        <v>26</v>
      </c>
      <c r="F91" t="s">
        <v>23</v>
      </c>
      <c r="G91" s="1">
        <v>45716</v>
      </c>
      <c r="H91" s="1">
        <v>45727</v>
      </c>
      <c r="I91">
        <v>11</v>
      </c>
      <c r="J91">
        <v>128304</v>
      </c>
    </row>
    <row r="92" spans="1:10" x14ac:dyDescent="0.3">
      <c r="A92" t="s">
        <v>188</v>
      </c>
      <c r="B92" t="s">
        <v>189</v>
      </c>
      <c r="C92">
        <v>60</v>
      </c>
      <c r="D92" t="s">
        <v>17</v>
      </c>
      <c r="E92" t="s">
        <v>45</v>
      </c>
      <c r="F92" t="s">
        <v>23</v>
      </c>
      <c r="G92" s="1">
        <v>45976</v>
      </c>
      <c r="H92" s="1">
        <v>45989</v>
      </c>
      <c r="I92">
        <v>13</v>
      </c>
      <c r="J92">
        <v>113828</v>
      </c>
    </row>
    <row r="93" spans="1:10" x14ac:dyDescent="0.3">
      <c r="A93" t="s">
        <v>190</v>
      </c>
      <c r="B93" t="s">
        <v>191</v>
      </c>
      <c r="C93">
        <v>44</v>
      </c>
      <c r="D93" t="s">
        <v>17</v>
      </c>
      <c r="E93" t="s">
        <v>33</v>
      </c>
      <c r="F93" t="s">
        <v>59</v>
      </c>
      <c r="G93" s="1">
        <v>45771</v>
      </c>
      <c r="H93" s="1">
        <v>45781</v>
      </c>
      <c r="I93">
        <v>10</v>
      </c>
      <c r="J93">
        <v>93830</v>
      </c>
    </row>
    <row r="94" spans="1:10" x14ac:dyDescent="0.3">
      <c r="A94" t="s">
        <v>192</v>
      </c>
      <c r="B94" t="s">
        <v>189</v>
      </c>
      <c r="C94">
        <v>68</v>
      </c>
      <c r="D94" t="s">
        <v>17</v>
      </c>
      <c r="E94" t="s">
        <v>22</v>
      </c>
      <c r="F94" t="s">
        <v>62</v>
      </c>
      <c r="G94" s="1">
        <v>45740</v>
      </c>
      <c r="H94" s="1">
        <v>45744</v>
      </c>
      <c r="I94">
        <v>4</v>
      </c>
      <c r="J94">
        <v>44476</v>
      </c>
    </row>
    <row r="95" spans="1:10" x14ac:dyDescent="0.3">
      <c r="A95" t="s">
        <v>193</v>
      </c>
      <c r="B95" t="s">
        <v>107</v>
      </c>
      <c r="C95">
        <v>73</v>
      </c>
      <c r="D95" t="s">
        <v>17</v>
      </c>
      <c r="E95" t="s">
        <v>33</v>
      </c>
      <c r="F95" t="s">
        <v>14</v>
      </c>
      <c r="G95" s="1">
        <v>45840</v>
      </c>
      <c r="H95" s="1">
        <v>45850</v>
      </c>
      <c r="I95">
        <v>10</v>
      </c>
      <c r="J95">
        <v>106910</v>
      </c>
    </row>
    <row r="96" spans="1:10" x14ac:dyDescent="0.3">
      <c r="A96" t="s">
        <v>194</v>
      </c>
      <c r="B96" t="s">
        <v>66</v>
      </c>
      <c r="C96">
        <v>72</v>
      </c>
      <c r="D96" t="s">
        <v>12</v>
      </c>
      <c r="E96" t="s">
        <v>102</v>
      </c>
      <c r="F96" t="s">
        <v>23</v>
      </c>
      <c r="G96" s="1">
        <v>45998</v>
      </c>
      <c r="H96" s="1">
        <v>46003</v>
      </c>
      <c r="I96">
        <v>5</v>
      </c>
      <c r="J96">
        <v>53485</v>
      </c>
    </row>
    <row r="97" spans="1:10" x14ac:dyDescent="0.3">
      <c r="A97" t="s">
        <v>195</v>
      </c>
      <c r="B97" t="s">
        <v>196</v>
      </c>
      <c r="C97">
        <v>70</v>
      </c>
      <c r="D97" t="s">
        <v>12</v>
      </c>
      <c r="E97" t="s">
        <v>30</v>
      </c>
      <c r="F97" t="s">
        <v>27</v>
      </c>
      <c r="G97" s="1">
        <v>45809</v>
      </c>
      <c r="H97" s="1">
        <v>45812</v>
      </c>
      <c r="I97">
        <v>3</v>
      </c>
      <c r="J97">
        <v>33045</v>
      </c>
    </row>
    <row r="98" spans="1:10" x14ac:dyDescent="0.3">
      <c r="A98" t="s">
        <v>197</v>
      </c>
      <c r="B98" t="s">
        <v>151</v>
      </c>
      <c r="C98">
        <v>70</v>
      </c>
      <c r="D98" t="s">
        <v>12</v>
      </c>
      <c r="E98" t="s">
        <v>26</v>
      </c>
      <c r="F98" t="s">
        <v>19</v>
      </c>
      <c r="G98" s="1">
        <v>45775</v>
      </c>
      <c r="H98" s="1">
        <v>45783</v>
      </c>
      <c r="I98">
        <v>8</v>
      </c>
      <c r="J98">
        <v>46896</v>
      </c>
    </row>
    <row r="99" spans="1:10" x14ac:dyDescent="0.3">
      <c r="A99" t="s">
        <v>198</v>
      </c>
      <c r="B99" t="s">
        <v>199</v>
      </c>
      <c r="C99">
        <v>64</v>
      </c>
      <c r="D99" t="s">
        <v>17</v>
      </c>
      <c r="E99" t="s">
        <v>39</v>
      </c>
      <c r="F99" t="s">
        <v>27</v>
      </c>
      <c r="G99" s="1">
        <v>45817</v>
      </c>
      <c r="H99" s="1">
        <v>45831</v>
      </c>
      <c r="I99">
        <v>14</v>
      </c>
      <c r="J99">
        <v>93520</v>
      </c>
    </row>
    <row r="100" spans="1:10" x14ac:dyDescent="0.3">
      <c r="A100" t="s">
        <v>200</v>
      </c>
      <c r="B100" t="s">
        <v>201</v>
      </c>
      <c r="C100">
        <v>82</v>
      </c>
      <c r="D100" t="s">
        <v>12</v>
      </c>
      <c r="E100" t="s">
        <v>22</v>
      </c>
      <c r="F100" t="s">
        <v>62</v>
      </c>
      <c r="G100" s="1">
        <v>45873</v>
      </c>
      <c r="H100" s="1">
        <v>45879</v>
      </c>
      <c r="I100">
        <v>6</v>
      </c>
      <c r="J100">
        <v>49950</v>
      </c>
    </row>
    <row r="101" spans="1:10" x14ac:dyDescent="0.3">
      <c r="A101" t="s">
        <v>202</v>
      </c>
      <c r="B101" t="s">
        <v>203</v>
      </c>
      <c r="C101">
        <v>72</v>
      </c>
      <c r="D101" t="s">
        <v>12</v>
      </c>
      <c r="E101" t="s">
        <v>48</v>
      </c>
      <c r="F101" t="s">
        <v>59</v>
      </c>
      <c r="G101" s="1">
        <v>45992</v>
      </c>
      <c r="H101" s="1">
        <v>46004</v>
      </c>
      <c r="I101">
        <v>12</v>
      </c>
      <c r="J101">
        <v>128004</v>
      </c>
    </row>
    <row r="102" spans="1:10" x14ac:dyDescent="0.3">
      <c r="A102" t="s">
        <v>204</v>
      </c>
      <c r="B102" t="s">
        <v>66</v>
      </c>
      <c r="C102">
        <v>21</v>
      </c>
      <c r="D102" t="s">
        <v>17</v>
      </c>
      <c r="E102" t="s">
        <v>39</v>
      </c>
      <c r="F102" t="s">
        <v>19</v>
      </c>
      <c r="G102" s="1">
        <v>45913</v>
      </c>
      <c r="H102" s="1">
        <v>45915</v>
      </c>
      <c r="I102">
        <v>2</v>
      </c>
      <c r="J102">
        <v>11530</v>
      </c>
    </row>
    <row r="103" spans="1:10" x14ac:dyDescent="0.3">
      <c r="A103" t="s">
        <v>205</v>
      </c>
      <c r="B103" t="s">
        <v>181</v>
      </c>
      <c r="C103">
        <v>87</v>
      </c>
      <c r="D103" t="s">
        <v>12</v>
      </c>
      <c r="E103" t="s">
        <v>33</v>
      </c>
      <c r="F103" t="s">
        <v>23</v>
      </c>
      <c r="G103" s="1">
        <v>46007</v>
      </c>
      <c r="H103" s="1">
        <v>46017</v>
      </c>
      <c r="I103">
        <v>10</v>
      </c>
      <c r="J103">
        <v>63420</v>
      </c>
    </row>
    <row r="104" spans="1:10" x14ac:dyDescent="0.3">
      <c r="A104" t="s">
        <v>206</v>
      </c>
      <c r="B104" t="s">
        <v>207</v>
      </c>
      <c r="C104">
        <v>66</v>
      </c>
      <c r="D104" t="s">
        <v>12</v>
      </c>
      <c r="E104" t="s">
        <v>22</v>
      </c>
      <c r="F104" t="s">
        <v>23</v>
      </c>
      <c r="G104" s="1">
        <v>45838</v>
      </c>
      <c r="H104" s="1">
        <v>45850</v>
      </c>
      <c r="I104">
        <v>12</v>
      </c>
      <c r="J104">
        <v>83820</v>
      </c>
    </row>
    <row r="105" spans="1:10" x14ac:dyDescent="0.3">
      <c r="A105" t="s">
        <v>208</v>
      </c>
      <c r="B105" t="s">
        <v>209</v>
      </c>
      <c r="C105">
        <v>74</v>
      </c>
      <c r="D105" t="s">
        <v>17</v>
      </c>
      <c r="E105" t="s">
        <v>39</v>
      </c>
      <c r="F105" t="s">
        <v>34</v>
      </c>
      <c r="G105" s="1">
        <v>45819</v>
      </c>
      <c r="H105" s="1">
        <v>45834</v>
      </c>
      <c r="I105">
        <v>15</v>
      </c>
      <c r="J105">
        <v>168975</v>
      </c>
    </row>
    <row r="106" spans="1:10" x14ac:dyDescent="0.3">
      <c r="A106" t="s">
        <v>210</v>
      </c>
      <c r="B106" t="s">
        <v>211</v>
      </c>
      <c r="C106">
        <v>10</v>
      </c>
      <c r="D106" t="s">
        <v>17</v>
      </c>
      <c r="E106" t="s">
        <v>18</v>
      </c>
      <c r="F106" t="s">
        <v>14</v>
      </c>
      <c r="G106" s="1">
        <v>45937</v>
      </c>
      <c r="H106" s="1">
        <v>45939</v>
      </c>
      <c r="I106">
        <v>2</v>
      </c>
      <c r="J106">
        <v>18190</v>
      </c>
    </row>
    <row r="107" spans="1:10" x14ac:dyDescent="0.3">
      <c r="A107" t="s">
        <v>212</v>
      </c>
      <c r="B107" t="s">
        <v>123</v>
      </c>
      <c r="C107">
        <v>31</v>
      </c>
      <c r="D107" t="s">
        <v>12</v>
      </c>
      <c r="E107" t="s">
        <v>22</v>
      </c>
      <c r="F107" t="s">
        <v>27</v>
      </c>
      <c r="G107" s="1">
        <v>45939</v>
      </c>
      <c r="H107" s="1">
        <v>45945</v>
      </c>
      <c r="I107">
        <v>6</v>
      </c>
      <c r="J107">
        <v>53124</v>
      </c>
    </row>
    <row r="108" spans="1:10" x14ac:dyDescent="0.3">
      <c r="A108" t="s">
        <v>213</v>
      </c>
      <c r="B108" t="s">
        <v>61</v>
      </c>
      <c r="C108">
        <v>23</v>
      </c>
      <c r="D108" t="s">
        <v>17</v>
      </c>
      <c r="E108" t="s">
        <v>39</v>
      </c>
      <c r="F108" t="s">
        <v>59</v>
      </c>
      <c r="G108" s="1">
        <v>45982</v>
      </c>
      <c r="H108" s="1">
        <v>45994</v>
      </c>
      <c r="I108">
        <v>12</v>
      </c>
      <c r="J108">
        <v>53556</v>
      </c>
    </row>
    <row r="109" spans="1:10" x14ac:dyDescent="0.3">
      <c r="A109" t="s">
        <v>214</v>
      </c>
      <c r="B109" t="s">
        <v>148</v>
      </c>
      <c r="C109">
        <v>86</v>
      </c>
      <c r="D109" t="s">
        <v>12</v>
      </c>
      <c r="E109" t="s">
        <v>102</v>
      </c>
      <c r="F109" t="s">
        <v>27</v>
      </c>
      <c r="G109" s="1">
        <v>46022</v>
      </c>
      <c r="H109" s="1">
        <v>46035</v>
      </c>
      <c r="I109">
        <v>13</v>
      </c>
      <c r="J109">
        <v>81822</v>
      </c>
    </row>
    <row r="110" spans="1:10" x14ac:dyDescent="0.3">
      <c r="A110" t="s">
        <v>215</v>
      </c>
      <c r="B110" t="s">
        <v>16</v>
      </c>
      <c r="C110">
        <v>85</v>
      </c>
      <c r="D110" t="s">
        <v>12</v>
      </c>
      <c r="E110" t="s">
        <v>18</v>
      </c>
      <c r="F110" t="s">
        <v>14</v>
      </c>
      <c r="G110" s="1">
        <v>45770</v>
      </c>
      <c r="H110" s="1">
        <v>45775</v>
      </c>
      <c r="I110">
        <v>5</v>
      </c>
      <c r="J110">
        <v>54860</v>
      </c>
    </row>
    <row r="111" spans="1:10" x14ac:dyDescent="0.3">
      <c r="A111" t="s">
        <v>216</v>
      </c>
      <c r="B111" t="s">
        <v>217</v>
      </c>
      <c r="C111">
        <v>1</v>
      </c>
      <c r="D111" t="s">
        <v>12</v>
      </c>
      <c r="E111" t="s">
        <v>102</v>
      </c>
      <c r="F111" t="s">
        <v>23</v>
      </c>
      <c r="G111" s="1">
        <v>45862</v>
      </c>
      <c r="H111" s="1">
        <v>45868</v>
      </c>
      <c r="I111">
        <v>6</v>
      </c>
      <c r="J111">
        <v>45756</v>
      </c>
    </row>
    <row r="112" spans="1:10" x14ac:dyDescent="0.3">
      <c r="A112" t="s">
        <v>218</v>
      </c>
      <c r="B112" t="s">
        <v>176</v>
      </c>
      <c r="C112">
        <v>33</v>
      </c>
      <c r="D112" t="s">
        <v>12</v>
      </c>
      <c r="E112" t="s">
        <v>39</v>
      </c>
      <c r="F112" t="s">
        <v>14</v>
      </c>
      <c r="G112" s="1">
        <v>45892</v>
      </c>
      <c r="H112" s="1">
        <v>45905</v>
      </c>
      <c r="I112">
        <v>13</v>
      </c>
      <c r="J112">
        <v>106197</v>
      </c>
    </row>
    <row r="113" spans="1:10" x14ac:dyDescent="0.3">
      <c r="A113" t="s">
        <v>219</v>
      </c>
      <c r="B113" t="s">
        <v>220</v>
      </c>
      <c r="C113">
        <v>4</v>
      </c>
      <c r="D113" t="s">
        <v>12</v>
      </c>
      <c r="E113" t="s">
        <v>30</v>
      </c>
      <c r="F113" t="s">
        <v>14</v>
      </c>
      <c r="G113" s="1">
        <v>45705</v>
      </c>
      <c r="H113" s="1">
        <v>45719</v>
      </c>
      <c r="I113">
        <v>14</v>
      </c>
      <c r="J113">
        <v>110628</v>
      </c>
    </row>
    <row r="114" spans="1:10" x14ac:dyDescent="0.3">
      <c r="A114" t="s">
        <v>221</v>
      </c>
      <c r="B114" t="s">
        <v>52</v>
      </c>
      <c r="C114">
        <v>65</v>
      </c>
      <c r="D114" t="s">
        <v>17</v>
      </c>
      <c r="E114" t="s">
        <v>30</v>
      </c>
      <c r="F114" t="s">
        <v>23</v>
      </c>
      <c r="G114" s="1">
        <v>45778</v>
      </c>
      <c r="H114" s="1">
        <v>45791</v>
      </c>
      <c r="I114">
        <v>13</v>
      </c>
      <c r="J114">
        <v>135564</v>
      </c>
    </row>
    <row r="115" spans="1:10" x14ac:dyDescent="0.3">
      <c r="A115" t="s">
        <v>222</v>
      </c>
      <c r="B115" t="s">
        <v>16</v>
      </c>
      <c r="C115">
        <v>14</v>
      </c>
      <c r="D115" t="s">
        <v>12</v>
      </c>
      <c r="E115" t="s">
        <v>13</v>
      </c>
      <c r="F115" t="s">
        <v>14</v>
      </c>
      <c r="G115" s="1">
        <v>45658</v>
      </c>
      <c r="H115" s="1">
        <v>45663</v>
      </c>
      <c r="I115">
        <v>5</v>
      </c>
      <c r="J115">
        <v>50035</v>
      </c>
    </row>
    <row r="116" spans="1:10" x14ac:dyDescent="0.3">
      <c r="A116" t="s">
        <v>223</v>
      </c>
      <c r="B116" t="s">
        <v>137</v>
      </c>
      <c r="C116">
        <v>51</v>
      </c>
      <c r="D116" t="s">
        <v>17</v>
      </c>
      <c r="E116" t="s">
        <v>13</v>
      </c>
      <c r="F116" t="s">
        <v>23</v>
      </c>
      <c r="G116" s="1">
        <v>45694</v>
      </c>
      <c r="H116" s="1">
        <v>45698</v>
      </c>
      <c r="I116">
        <v>4</v>
      </c>
      <c r="J116">
        <v>32492</v>
      </c>
    </row>
    <row r="117" spans="1:10" x14ac:dyDescent="0.3">
      <c r="A117" t="s">
        <v>224</v>
      </c>
      <c r="B117" t="s">
        <v>151</v>
      </c>
      <c r="C117">
        <v>50</v>
      </c>
      <c r="D117" t="s">
        <v>12</v>
      </c>
      <c r="E117" t="s">
        <v>48</v>
      </c>
      <c r="F117" t="s">
        <v>59</v>
      </c>
      <c r="G117" s="1">
        <v>45881</v>
      </c>
      <c r="H117" s="1">
        <v>45892</v>
      </c>
      <c r="I117">
        <v>11</v>
      </c>
      <c r="J117">
        <v>131472</v>
      </c>
    </row>
    <row r="118" spans="1:10" x14ac:dyDescent="0.3">
      <c r="A118" t="s">
        <v>225</v>
      </c>
      <c r="B118" t="s">
        <v>109</v>
      </c>
      <c r="C118">
        <v>29</v>
      </c>
      <c r="D118" t="s">
        <v>17</v>
      </c>
      <c r="E118" t="s">
        <v>45</v>
      </c>
      <c r="F118" t="s">
        <v>42</v>
      </c>
      <c r="G118" s="1">
        <v>45868</v>
      </c>
      <c r="H118" s="1">
        <v>45880</v>
      </c>
      <c r="I118">
        <v>12</v>
      </c>
      <c r="J118">
        <v>139032</v>
      </c>
    </row>
    <row r="119" spans="1:10" x14ac:dyDescent="0.3">
      <c r="A119" t="s">
        <v>226</v>
      </c>
      <c r="B119" t="s">
        <v>203</v>
      </c>
      <c r="C119">
        <v>48</v>
      </c>
      <c r="D119" t="s">
        <v>12</v>
      </c>
      <c r="E119" t="s">
        <v>18</v>
      </c>
      <c r="F119" t="s">
        <v>42</v>
      </c>
      <c r="G119" s="1">
        <v>45783</v>
      </c>
      <c r="H119" s="1">
        <v>45787</v>
      </c>
      <c r="I119">
        <v>4</v>
      </c>
      <c r="J119">
        <v>32432</v>
      </c>
    </row>
    <row r="120" spans="1:10" x14ac:dyDescent="0.3">
      <c r="A120" t="s">
        <v>227</v>
      </c>
      <c r="B120" t="s">
        <v>25</v>
      </c>
      <c r="C120">
        <v>60</v>
      </c>
      <c r="D120" t="s">
        <v>12</v>
      </c>
      <c r="E120" t="s">
        <v>22</v>
      </c>
      <c r="F120" t="s">
        <v>62</v>
      </c>
      <c r="G120" s="1">
        <v>45985</v>
      </c>
      <c r="H120" s="1">
        <v>46000</v>
      </c>
      <c r="I120">
        <v>15</v>
      </c>
      <c r="J120">
        <v>81915</v>
      </c>
    </row>
    <row r="121" spans="1:10" x14ac:dyDescent="0.3">
      <c r="A121" t="s">
        <v>228</v>
      </c>
      <c r="B121" t="s">
        <v>201</v>
      </c>
      <c r="C121">
        <v>49</v>
      </c>
      <c r="D121" t="s">
        <v>12</v>
      </c>
      <c r="E121" t="s">
        <v>18</v>
      </c>
      <c r="F121" t="s">
        <v>59</v>
      </c>
      <c r="G121" s="1">
        <v>46004</v>
      </c>
      <c r="H121" s="1">
        <v>46012</v>
      </c>
      <c r="I121">
        <v>8</v>
      </c>
      <c r="J121">
        <v>40744</v>
      </c>
    </row>
    <row r="122" spans="1:10" x14ac:dyDescent="0.3">
      <c r="A122" t="s">
        <v>229</v>
      </c>
      <c r="B122" t="s">
        <v>96</v>
      </c>
      <c r="C122">
        <v>29</v>
      </c>
      <c r="D122" t="s">
        <v>17</v>
      </c>
      <c r="E122" t="s">
        <v>30</v>
      </c>
      <c r="F122" t="s">
        <v>34</v>
      </c>
      <c r="G122" s="1">
        <v>45945</v>
      </c>
      <c r="H122" s="1">
        <v>45952</v>
      </c>
      <c r="I122">
        <v>7</v>
      </c>
      <c r="J122">
        <v>71659</v>
      </c>
    </row>
    <row r="123" spans="1:10" x14ac:dyDescent="0.3">
      <c r="A123" t="s">
        <v>230</v>
      </c>
      <c r="B123" t="s">
        <v>231</v>
      </c>
      <c r="C123">
        <v>61</v>
      </c>
      <c r="D123" t="s">
        <v>12</v>
      </c>
      <c r="E123" t="s">
        <v>33</v>
      </c>
      <c r="F123" t="s">
        <v>59</v>
      </c>
      <c r="G123" s="1">
        <v>45781</v>
      </c>
      <c r="H123" s="1">
        <v>45788</v>
      </c>
      <c r="I123">
        <v>7</v>
      </c>
      <c r="J123">
        <v>48468</v>
      </c>
    </row>
    <row r="124" spans="1:10" x14ac:dyDescent="0.3">
      <c r="A124" t="s">
        <v>232</v>
      </c>
      <c r="B124" t="s">
        <v>84</v>
      </c>
      <c r="C124">
        <v>19</v>
      </c>
      <c r="D124" t="s">
        <v>17</v>
      </c>
      <c r="E124" t="s">
        <v>45</v>
      </c>
      <c r="F124" t="s">
        <v>27</v>
      </c>
      <c r="G124" s="1">
        <v>45665</v>
      </c>
      <c r="H124" s="1">
        <v>45677</v>
      </c>
      <c r="I124">
        <v>12</v>
      </c>
      <c r="J124">
        <v>90084</v>
      </c>
    </row>
    <row r="125" spans="1:10" x14ac:dyDescent="0.3">
      <c r="A125" t="s">
        <v>233</v>
      </c>
      <c r="B125" t="s">
        <v>44</v>
      </c>
      <c r="C125">
        <v>46</v>
      </c>
      <c r="D125" t="s">
        <v>17</v>
      </c>
      <c r="E125" t="s">
        <v>26</v>
      </c>
      <c r="F125" t="s">
        <v>23</v>
      </c>
      <c r="G125" s="1">
        <v>45746</v>
      </c>
      <c r="H125" s="1">
        <v>45748</v>
      </c>
      <c r="I125">
        <v>2</v>
      </c>
      <c r="J125">
        <v>13502</v>
      </c>
    </row>
    <row r="126" spans="1:10" x14ac:dyDescent="0.3">
      <c r="A126" t="s">
        <v>234</v>
      </c>
      <c r="B126" t="s">
        <v>231</v>
      </c>
      <c r="C126">
        <v>60</v>
      </c>
      <c r="D126" t="s">
        <v>17</v>
      </c>
      <c r="E126" t="s">
        <v>13</v>
      </c>
      <c r="F126" t="s">
        <v>27</v>
      </c>
      <c r="G126" s="1">
        <v>45771</v>
      </c>
      <c r="H126" s="1">
        <v>45777</v>
      </c>
      <c r="I126">
        <v>6</v>
      </c>
      <c r="J126">
        <v>29898</v>
      </c>
    </row>
    <row r="127" spans="1:10" x14ac:dyDescent="0.3">
      <c r="A127" t="s">
        <v>235</v>
      </c>
      <c r="B127" t="s">
        <v>236</v>
      </c>
      <c r="C127">
        <v>60</v>
      </c>
      <c r="D127" t="s">
        <v>12</v>
      </c>
      <c r="E127" t="s">
        <v>22</v>
      </c>
      <c r="F127" t="s">
        <v>62</v>
      </c>
      <c r="G127" s="1">
        <v>45754</v>
      </c>
      <c r="H127" s="1">
        <v>45762</v>
      </c>
      <c r="I127">
        <v>8</v>
      </c>
      <c r="J127">
        <v>37232</v>
      </c>
    </row>
    <row r="128" spans="1:10" x14ac:dyDescent="0.3">
      <c r="A128" t="s">
        <v>237</v>
      </c>
      <c r="B128" t="s">
        <v>238</v>
      </c>
      <c r="C128">
        <v>36</v>
      </c>
      <c r="D128" t="s">
        <v>12</v>
      </c>
      <c r="E128" t="s">
        <v>13</v>
      </c>
      <c r="F128" t="s">
        <v>59</v>
      </c>
      <c r="G128" s="1">
        <v>45767</v>
      </c>
      <c r="H128" s="1">
        <v>45778</v>
      </c>
      <c r="I128">
        <v>11</v>
      </c>
      <c r="J128">
        <v>112970</v>
      </c>
    </row>
    <row r="129" spans="1:10" x14ac:dyDescent="0.3">
      <c r="A129" t="s">
        <v>239</v>
      </c>
      <c r="B129" t="s">
        <v>203</v>
      </c>
      <c r="C129">
        <v>20</v>
      </c>
      <c r="D129" t="s">
        <v>12</v>
      </c>
      <c r="E129" t="s">
        <v>33</v>
      </c>
      <c r="F129" t="s">
        <v>23</v>
      </c>
      <c r="G129" s="1">
        <v>45659</v>
      </c>
      <c r="H129" s="1">
        <v>45669</v>
      </c>
      <c r="I129">
        <v>10</v>
      </c>
      <c r="J129">
        <v>112810</v>
      </c>
    </row>
    <row r="130" spans="1:10" x14ac:dyDescent="0.3">
      <c r="A130" t="s">
        <v>240</v>
      </c>
      <c r="B130" t="s">
        <v>241</v>
      </c>
      <c r="C130">
        <v>72</v>
      </c>
      <c r="D130" t="s">
        <v>17</v>
      </c>
      <c r="E130" t="s">
        <v>102</v>
      </c>
      <c r="F130" t="s">
        <v>62</v>
      </c>
      <c r="G130" s="1">
        <v>45744</v>
      </c>
      <c r="H130" s="1">
        <v>45746</v>
      </c>
      <c r="I130">
        <v>2</v>
      </c>
      <c r="J130">
        <v>11654</v>
      </c>
    </row>
    <row r="131" spans="1:10" x14ac:dyDescent="0.3">
      <c r="A131" t="s">
        <v>242</v>
      </c>
      <c r="B131" t="s">
        <v>162</v>
      </c>
      <c r="C131">
        <v>20</v>
      </c>
      <c r="D131" t="s">
        <v>17</v>
      </c>
      <c r="E131" t="s">
        <v>48</v>
      </c>
      <c r="F131" t="s">
        <v>19</v>
      </c>
      <c r="G131" s="1">
        <v>45955</v>
      </c>
      <c r="H131" s="1">
        <v>45956</v>
      </c>
      <c r="I131">
        <v>1</v>
      </c>
      <c r="J131">
        <v>6788</v>
      </c>
    </row>
    <row r="132" spans="1:10" x14ac:dyDescent="0.3">
      <c r="A132" t="s">
        <v>243</v>
      </c>
      <c r="B132" t="s">
        <v>107</v>
      </c>
      <c r="C132">
        <v>19</v>
      </c>
      <c r="D132" t="s">
        <v>12</v>
      </c>
      <c r="E132" t="s">
        <v>33</v>
      </c>
      <c r="F132" t="s">
        <v>19</v>
      </c>
      <c r="G132" s="1">
        <v>45742</v>
      </c>
      <c r="H132" s="1">
        <v>45752</v>
      </c>
      <c r="I132">
        <v>10</v>
      </c>
      <c r="J132">
        <v>75910</v>
      </c>
    </row>
    <row r="133" spans="1:10" x14ac:dyDescent="0.3">
      <c r="A133" t="s">
        <v>244</v>
      </c>
      <c r="B133" t="s">
        <v>245</v>
      </c>
      <c r="C133">
        <v>7</v>
      </c>
      <c r="D133" t="s">
        <v>12</v>
      </c>
      <c r="E133" t="s">
        <v>102</v>
      </c>
      <c r="F133" t="s">
        <v>23</v>
      </c>
      <c r="G133" s="1">
        <v>46017</v>
      </c>
      <c r="H133" s="1">
        <v>46031</v>
      </c>
      <c r="I133">
        <v>14</v>
      </c>
      <c r="J133">
        <v>88074</v>
      </c>
    </row>
    <row r="134" spans="1:10" x14ac:dyDescent="0.3">
      <c r="A134" t="s">
        <v>246</v>
      </c>
      <c r="B134" t="s">
        <v>247</v>
      </c>
      <c r="C134">
        <v>11</v>
      </c>
      <c r="D134" t="s">
        <v>17</v>
      </c>
      <c r="E134" t="s">
        <v>33</v>
      </c>
      <c r="F134" t="s">
        <v>62</v>
      </c>
      <c r="G134" s="1">
        <v>45934</v>
      </c>
      <c r="H134" s="1">
        <v>45942</v>
      </c>
      <c r="I134">
        <v>8</v>
      </c>
      <c r="J134">
        <v>85432</v>
      </c>
    </row>
    <row r="135" spans="1:10" x14ac:dyDescent="0.3">
      <c r="A135" t="s">
        <v>248</v>
      </c>
      <c r="B135" t="s">
        <v>249</v>
      </c>
      <c r="C135">
        <v>12</v>
      </c>
      <c r="D135" t="s">
        <v>17</v>
      </c>
      <c r="E135" t="s">
        <v>39</v>
      </c>
      <c r="F135" t="s">
        <v>27</v>
      </c>
      <c r="G135" s="1">
        <v>45849</v>
      </c>
      <c r="H135" s="1">
        <v>45861</v>
      </c>
      <c r="I135">
        <v>12</v>
      </c>
      <c r="J135">
        <v>110892</v>
      </c>
    </row>
    <row r="136" spans="1:10" x14ac:dyDescent="0.3">
      <c r="A136" t="s">
        <v>250</v>
      </c>
      <c r="B136" t="s">
        <v>251</v>
      </c>
      <c r="C136">
        <v>38</v>
      </c>
      <c r="D136" t="s">
        <v>12</v>
      </c>
      <c r="E136" t="s">
        <v>102</v>
      </c>
      <c r="F136" t="s">
        <v>19</v>
      </c>
      <c r="G136" s="1">
        <v>45813</v>
      </c>
      <c r="H136" s="1">
        <v>45814</v>
      </c>
      <c r="I136">
        <v>1</v>
      </c>
      <c r="J136">
        <v>10032</v>
      </c>
    </row>
    <row r="137" spans="1:10" x14ac:dyDescent="0.3">
      <c r="A137" t="s">
        <v>252</v>
      </c>
      <c r="B137" t="s">
        <v>125</v>
      </c>
      <c r="C137">
        <v>78</v>
      </c>
      <c r="D137" t="s">
        <v>17</v>
      </c>
      <c r="E137" t="s">
        <v>13</v>
      </c>
      <c r="F137" t="s">
        <v>34</v>
      </c>
      <c r="G137" s="1">
        <v>45709</v>
      </c>
      <c r="H137" s="1">
        <v>45719</v>
      </c>
      <c r="I137">
        <v>10</v>
      </c>
      <c r="J137">
        <v>57670</v>
      </c>
    </row>
    <row r="138" spans="1:10" x14ac:dyDescent="0.3">
      <c r="A138" t="s">
        <v>253</v>
      </c>
      <c r="B138" t="s">
        <v>187</v>
      </c>
      <c r="C138">
        <v>27</v>
      </c>
      <c r="D138" t="s">
        <v>12</v>
      </c>
      <c r="E138" t="s">
        <v>30</v>
      </c>
      <c r="F138" t="s">
        <v>62</v>
      </c>
      <c r="G138" s="1">
        <v>45919</v>
      </c>
      <c r="H138" s="1">
        <v>45933</v>
      </c>
      <c r="I138">
        <v>14</v>
      </c>
      <c r="J138">
        <v>66682</v>
      </c>
    </row>
    <row r="139" spans="1:10" x14ac:dyDescent="0.3">
      <c r="A139" t="s">
        <v>254</v>
      </c>
      <c r="B139" t="s">
        <v>171</v>
      </c>
      <c r="C139">
        <v>60</v>
      </c>
      <c r="D139" t="s">
        <v>12</v>
      </c>
      <c r="E139" t="s">
        <v>33</v>
      </c>
      <c r="F139" t="s">
        <v>34</v>
      </c>
      <c r="G139" s="1">
        <v>45741</v>
      </c>
      <c r="H139" s="1">
        <v>45743</v>
      </c>
      <c r="I139">
        <v>2</v>
      </c>
      <c r="J139">
        <v>8792</v>
      </c>
    </row>
    <row r="140" spans="1:10" x14ac:dyDescent="0.3">
      <c r="A140" t="s">
        <v>255</v>
      </c>
      <c r="B140" t="s">
        <v>256</v>
      </c>
      <c r="C140">
        <v>65</v>
      </c>
      <c r="D140" t="s">
        <v>12</v>
      </c>
      <c r="E140" t="s">
        <v>13</v>
      </c>
      <c r="F140" t="s">
        <v>59</v>
      </c>
      <c r="G140" s="1">
        <v>45867</v>
      </c>
      <c r="H140" s="1">
        <v>45868</v>
      </c>
      <c r="I140">
        <v>1</v>
      </c>
      <c r="J140">
        <v>7452</v>
      </c>
    </row>
    <row r="141" spans="1:10" x14ac:dyDescent="0.3">
      <c r="A141" t="s">
        <v>257</v>
      </c>
      <c r="B141" t="s">
        <v>29</v>
      </c>
      <c r="C141">
        <v>43</v>
      </c>
      <c r="D141" t="s">
        <v>12</v>
      </c>
      <c r="E141" t="s">
        <v>48</v>
      </c>
      <c r="F141" t="s">
        <v>23</v>
      </c>
      <c r="G141" s="1">
        <v>45932</v>
      </c>
      <c r="H141" s="1">
        <v>45936</v>
      </c>
      <c r="I141">
        <v>4</v>
      </c>
      <c r="J141">
        <v>17724</v>
      </c>
    </row>
    <row r="142" spans="1:10" x14ac:dyDescent="0.3">
      <c r="A142" t="s">
        <v>258</v>
      </c>
      <c r="B142" t="s">
        <v>259</v>
      </c>
      <c r="C142">
        <v>33</v>
      </c>
      <c r="D142" t="s">
        <v>17</v>
      </c>
      <c r="E142" t="s">
        <v>18</v>
      </c>
      <c r="F142" t="s">
        <v>19</v>
      </c>
      <c r="G142" s="1">
        <v>45928</v>
      </c>
      <c r="H142" s="1">
        <v>45929</v>
      </c>
      <c r="I142">
        <v>1</v>
      </c>
      <c r="J142">
        <v>11098</v>
      </c>
    </row>
    <row r="143" spans="1:10" x14ac:dyDescent="0.3">
      <c r="A143" t="s">
        <v>260</v>
      </c>
      <c r="B143" t="s">
        <v>56</v>
      </c>
      <c r="C143">
        <v>58</v>
      </c>
      <c r="D143" t="s">
        <v>17</v>
      </c>
      <c r="E143" t="s">
        <v>30</v>
      </c>
      <c r="F143" t="s">
        <v>27</v>
      </c>
      <c r="G143" s="1">
        <v>45825</v>
      </c>
      <c r="H143" s="1">
        <v>45840</v>
      </c>
      <c r="I143">
        <v>15</v>
      </c>
      <c r="J143">
        <v>119145</v>
      </c>
    </row>
    <row r="144" spans="1:10" x14ac:dyDescent="0.3">
      <c r="A144" t="s">
        <v>261</v>
      </c>
      <c r="B144" t="s">
        <v>93</v>
      </c>
      <c r="C144">
        <v>63</v>
      </c>
      <c r="D144" t="s">
        <v>17</v>
      </c>
      <c r="E144" t="s">
        <v>26</v>
      </c>
      <c r="F144" t="s">
        <v>34</v>
      </c>
      <c r="G144" s="1">
        <v>45926</v>
      </c>
      <c r="H144" s="1">
        <v>45930</v>
      </c>
      <c r="I144">
        <v>4</v>
      </c>
      <c r="J144">
        <v>19508</v>
      </c>
    </row>
    <row r="145" spans="1:10" x14ac:dyDescent="0.3">
      <c r="A145" t="s">
        <v>262</v>
      </c>
      <c r="B145" t="s">
        <v>137</v>
      </c>
      <c r="C145">
        <v>38</v>
      </c>
      <c r="D145" t="s">
        <v>17</v>
      </c>
      <c r="E145" t="s">
        <v>30</v>
      </c>
      <c r="F145" t="s">
        <v>14</v>
      </c>
      <c r="G145" s="1">
        <v>45829</v>
      </c>
      <c r="H145" s="1">
        <v>45836</v>
      </c>
      <c r="I145">
        <v>7</v>
      </c>
      <c r="J145">
        <v>66661</v>
      </c>
    </row>
    <row r="146" spans="1:10" x14ac:dyDescent="0.3">
      <c r="A146" t="s">
        <v>263</v>
      </c>
      <c r="B146" t="s">
        <v>264</v>
      </c>
      <c r="C146">
        <v>38</v>
      </c>
      <c r="D146" t="s">
        <v>17</v>
      </c>
      <c r="E146" t="s">
        <v>30</v>
      </c>
      <c r="F146" t="s">
        <v>62</v>
      </c>
      <c r="G146" s="1">
        <v>45853</v>
      </c>
      <c r="H146" s="1">
        <v>45854</v>
      </c>
      <c r="I146">
        <v>1</v>
      </c>
      <c r="J146">
        <v>8065</v>
      </c>
    </row>
    <row r="147" spans="1:10" x14ac:dyDescent="0.3">
      <c r="A147" t="s">
        <v>265</v>
      </c>
      <c r="B147" t="s">
        <v>247</v>
      </c>
      <c r="C147">
        <v>87</v>
      </c>
      <c r="D147" t="s">
        <v>12</v>
      </c>
      <c r="E147" t="s">
        <v>18</v>
      </c>
      <c r="F147" t="s">
        <v>14</v>
      </c>
      <c r="G147" s="1">
        <v>45993</v>
      </c>
      <c r="H147" s="1">
        <v>46005</v>
      </c>
      <c r="I147">
        <v>12</v>
      </c>
      <c r="J147">
        <v>77064</v>
      </c>
    </row>
    <row r="148" spans="1:10" x14ac:dyDescent="0.3">
      <c r="A148" t="s">
        <v>266</v>
      </c>
      <c r="B148" t="s">
        <v>267</v>
      </c>
      <c r="C148">
        <v>35</v>
      </c>
      <c r="D148" t="s">
        <v>17</v>
      </c>
      <c r="E148" t="s">
        <v>22</v>
      </c>
      <c r="F148" t="s">
        <v>34</v>
      </c>
      <c r="G148" s="1">
        <v>45899</v>
      </c>
      <c r="H148" s="1">
        <v>45912</v>
      </c>
      <c r="I148">
        <v>13</v>
      </c>
      <c r="J148">
        <v>131391</v>
      </c>
    </row>
    <row r="149" spans="1:10" x14ac:dyDescent="0.3">
      <c r="A149" t="s">
        <v>268</v>
      </c>
      <c r="B149" t="s">
        <v>29</v>
      </c>
      <c r="C149">
        <v>82</v>
      </c>
      <c r="D149" t="s">
        <v>12</v>
      </c>
      <c r="E149" t="s">
        <v>18</v>
      </c>
      <c r="F149" t="s">
        <v>14</v>
      </c>
      <c r="G149" s="1">
        <v>45664</v>
      </c>
      <c r="H149" s="1">
        <v>45678</v>
      </c>
      <c r="I149">
        <v>14</v>
      </c>
      <c r="J149">
        <v>157808</v>
      </c>
    </row>
    <row r="150" spans="1:10" x14ac:dyDescent="0.3">
      <c r="A150" t="s">
        <v>269</v>
      </c>
      <c r="B150" t="s">
        <v>132</v>
      </c>
      <c r="C150">
        <v>15</v>
      </c>
      <c r="D150" t="s">
        <v>12</v>
      </c>
      <c r="E150" t="s">
        <v>45</v>
      </c>
      <c r="F150" t="s">
        <v>19</v>
      </c>
      <c r="G150" s="1">
        <v>45972</v>
      </c>
      <c r="H150" s="1">
        <v>45985</v>
      </c>
      <c r="I150">
        <v>13</v>
      </c>
      <c r="J150">
        <v>64142</v>
      </c>
    </row>
    <row r="151" spans="1:10" x14ac:dyDescent="0.3">
      <c r="A151" t="s">
        <v>270</v>
      </c>
      <c r="B151" t="s">
        <v>47</v>
      </c>
      <c r="C151">
        <v>20</v>
      </c>
      <c r="D151" t="s">
        <v>12</v>
      </c>
      <c r="E151" t="s">
        <v>33</v>
      </c>
      <c r="F151" t="s">
        <v>62</v>
      </c>
      <c r="G151" s="1">
        <v>45743</v>
      </c>
      <c r="H151" s="1">
        <v>45752</v>
      </c>
      <c r="I151">
        <v>9</v>
      </c>
      <c r="J151">
        <v>97470</v>
      </c>
    </row>
    <row r="152" spans="1:10" x14ac:dyDescent="0.3">
      <c r="A152" t="s">
        <v>271</v>
      </c>
      <c r="B152" t="s">
        <v>36</v>
      </c>
      <c r="C152">
        <v>73</v>
      </c>
      <c r="D152" t="s">
        <v>17</v>
      </c>
      <c r="E152" t="s">
        <v>102</v>
      </c>
      <c r="F152" t="s">
        <v>19</v>
      </c>
      <c r="G152" s="1">
        <v>45698</v>
      </c>
      <c r="H152" s="1">
        <v>45699</v>
      </c>
      <c r="I152">
        <v>1</v>
      </c>
      <c r="J152">
        <v>10280</v>
      </c>
    </row>
    <row r="153" spans="1:10" x14ac:dyDescent="0.3">
      <c r="A153" t="s">
        <v>272</v>
      </c>
      <c r="B153" t="s">
        <v>273</v>
      </c>
      <c r="C153">
        <v>81</v>
      </c>
      <c r="D153" t="s">
        <v>12</v>
      </c>
      <c r="E153" t="s">
        <v>39</v>
      </c>
      <c r="F153" t="s">
        <v>59</v>
      </c>
      <c r="G153" s="1">
        <v>45990</v>
      </c>
      <c r="H153" s="1">
        <v>46000</v>
      </c>
      <c r="I153">
        <v>10</v>
      </c>
      <c r="J153">
        <v>62580</v>
      </c>
    </row>
    <row r="154" spans="1:10" x14ac:dyDescent="0.3">
      <c r="A154" t="s">
        <v>274</v>
      </c>
      <c r="B154" t="s">
        <v>275</v>
      </c>
      <c r="C154">
        <v>32</v>
      </c>
      <c r="D154" t="s">
        <v>17</v>
      </c>
      <c r="E154" t="s">
        <v>30</v>
      </c>
      <c r="F154" t="s">
        <v>27</v>
      </c>
      <c r="G154" s="1">
        <v>45984</v>
      </c>
      <c r="H154" s="1">
        <v>45994</v>
      </c>
      <c r="I154">
        <v>10</v>
      </c>
      <c r="J154">
        <v>88870</v>
      </c>
    </row>
    <row r="155" spans="1:10" x14ac:dyDescent="0.3">
      <c r="A155" t="s">
        <v>276</v>
      </c>
      <c r="B155" t="s">
        <v>249</v>
      </c>
      <c r="C155">
        <v>60</v>
      </c>
      <c r="D155" t="s">
        <v>12</v>
      </c>
      <c r="E155" t="s">
        <v>39</v>
      </c>
      <c r="F155" t="s">
        <v>19</v>
      </c>
      <c r="G155" s="1">
        <v>45814</v>
      </c>
      <c r="H155" s="1">
        <v>45824</v>
      </c>
      <c r="I155">
        <v>10</v>
      </c>
      <c r="J155">
        <v>49760</v>
      </c>
    </row>
    <row r="156" spans="1:10" x14ac:dyDescent="0.3">
      <c r="A156" t="s">
        <v>277</v>
      </c>
      <c r="B156" t="s">
        <v>36</v>
      </c>
      <c r="C156">
        <v>43</v>
      </c>
      <c r="D156" t="s">
        <v>17</v>
      </c>
      <c r="E156" t="s">
        <v>45</v>
      </c>
      <c r="F156" t="s">
        <v>27</v>
      </c>
      <c r="G156" s="1">
        <v>45696</v>
      </c>
      <c r="H156" s="1">
        <v>45697</v>
      </c>
      <c r="I156">
        <v>1</v>
      </c>
      <c r="J156">
        <v>4027</v>
      </c>
    </row>
    <row r="157" spans="1:10" x14ac:dyDescent="0.3">
      <c r="A157" t="s">
        <v>278</v>
      </c>
      <c r="B157" t="s">
        <v>127</v>
      </c>
      <c r="C157">
        <v>75</v>
      </c>
      <c r="D157" t="s">
        <v>12</v>
      </c>
      <c r="E157" t="s">
        <v>33</v>
      </c>
      <c r="F157" t="s">
        <v>42</v>
      </c>
      <c r="G157" s="1">
        <v>45997</v>
      </c>
      <c r="H157" s="1">
        <v>46009</v>
      </c>
      <c r="I157">
        <v>12</v>
      </c>
      <c r="J157">
        <v>128676</v>
      </c>
    </row>
    <row r="158" spans="1:10" x14ac:dyDescent="0.3">
      <c r="A158" t="s">
        <v>279</v>
      </c>
      <c r="B158" t="s">
        <v>187</v>
      </c>
      <c r="C158">
        <v>41</v>
      </c>
      <c r="D158" t="s">
        <v>17</v>
      </c>
      <c r="E158" t="s">
        <v>102</v>
      </c>
      <c r="F158" t="s">
        <v>42</v>
      </c>
      <c r="G158" s="1">
        <v>45924</v>
      </c>
      <c r="H158" s="1">
        <v>45934</v>
      </c>
      <c r="I158">
        <v>10</v>
      </c>
      <c r="J158">
        <v>105720</v>
      </c>
    </row>
    <row r="159" spans="1:10" x14ac:dyDescent="0.3">
      <c r="A159" t="s">
        <v>280</v>
      </c>
      <c r="B159" t="s">
        <v>11</v>
      </c>
      <c r="C159">
        <v>32</v>
      </c>
      <c r="D159" t="s">
        <v>17</v>
      </c>
      <c r="E159" t="s">
        <v>18</v>
      </c>
      <c r="F159" t="s">
        <v>59</v>
      </c>
      <c r="G159" s="1">
        <v>45679</v>
      </c>
      <c r="H159" s="1">
        <v>45687</v>
      </c>
      <c r="I159">
        <v>8</v>
      </c>
      <c r="J159">
        <v>38632</v>
      </c>
    </row>
    <row r="160" spans="1:10" x14ac:dyDescent="0.3">
      <c r="A160" t="s">
        <v>281</v>
      </c>
      <c r="B160" t="s">
        <v>247</v>
      </c>
      <c r="C160">
        <v>55</v>
      </c>
      <c r="D160" t="s">
        <v>17</v>
      </c>
      <c r="E160" t="s">
        <v>102</v>
      </c>
      <c r="F160" t="s">
        <v>27</v>
      </c>
      <c r="G160" s="1">
        <v>45830</v>
      </c>
      <c r="H160" s="1">
        <v>45843</v>
      </c>
      <c r="I160">
        <v>13</v>
      </c>
      <c r="J160">
        <v>68185</v>
      </c>
    </row>
    <row r="161" spans="1:10" x14ac:dyDescent="0.3">
      <c r="A161" t="s">
        <v>282</v>
      </c>
      <c r="B161" t="s">
        <v>283</v>
      </c>
      <c r="C161">
        <v>37</v>
      </c>
      <c r="D161" t="s">
        <v>17</v>
      </c>
      <c r="E161" t="s">
        <v>26</v>
      </c>
      <c r="F161" t="s">
        <v>62</v>
      </c>
      <c r="G161" s="1">
        <v>45915</v>
      </c>
      <c r="H161" s="1">
        <v>45925</v>
      </c>
      <c r="I161">
        <v>10</v>
      </c>
      <c r="J161">
        <v>109920</v>
      </c>
    </row>
    <row r="162" spans="1:10" x14ac:dyDescent="0.3">
      <c r="A162" t="s">
        <v>284</v>
      </c>
      <c r="B162" t="s">
        <v>220</v>
      </c>
      <c r="C162">
        <v>9</v>
      </c>
      <c r="D162" t="s">
        <v>17</v>
      </c>
      <c r="E162" t="s">
        <v>30</v>
      </c>
      <c r="F162" t="s">
        <v>42</v>
      </c>
      <c r="G162" s="1">
        <v>45862</v>
      </c>
      <c r="H162" s="1">
        <v>45867</v>
      </c>
      <c r="I162">
        <v>5</v>
      </c>
      <c r="J162">
        <v>23120</v>
      </c>
    </row>
    <row r="163" spans="1:10" x14ac:dyDescent="0.3">
      <c r="A163" t="s">
        <v>285</v>
      </c>
      <c r="B163" t="s">
        <v>41</v>
      </c>
      <c r="C163">
        <v>53</v>
      </c>
      <c r="D163" t="s">
        <v>17</v>
      </c>
      <c r="E163" t="s">
        <v>45</v>
      </c>
      <c r="F163" t="s">
        <v>19</v>
      </c>
      <c r="G163" s="1">
        <v>45930</v>
      </c>
      <c r="H163" s="1">
        <v>45941</v>
      </c>
      <c r="I163">
        <v>11</v>
      </c>
      <c r="J163">
        <v>106755</v>
      </c>
    </row>
    <row r="164" spans="1:10" x14ac:dyDescent="0.3">
      <c r="A164" t="s">
        <v>286</v>
      </c>
      <c r="B164" t="s">
        <v>78</v>
      </c>
      <c r="C164">
        <v>75</v>
      </c>
      <c r="D164" t="s">
        <v>17</v>
      </c>
      <c r="E164" t="s">
        <v>30</v>
      </c>
      <c r="F164" t="s">
        <v>19</v>
      </c>
      <c r="G164" s="1">
        <v>45711</v>
      </c>
      <c r="H164" s="1">
        <v>45726</v>
      </c>
      <c r="I164">
        <v>15</v>
      </c>
      <c r="J164">
        <v>164280</v>
      </c>
    </row>
    <row r="165" spans="1:10" x14ac:dyDescent="0.3">
      <c r="A165" t="s">
        <v>287</v>
      </c>
      <c r="B165" t="s">
        <v>288</v>
      </c>
      <c r="C165">
        <v>21</v>
      </c>
      <c r="D165" t="s">
        <v>12</v>
      </c>
      <c r="E165" t="s">
        <v>18</v>
      </c>
      <c r="F165" t="s">
        <v>14</v>
      </c>
      <c r="G165" s="1">
        <v>45768</v>
      </c>
      <c r="H165" s="1">
        <v>45770</v>
      </c>
      <c r="I165">
        <v>2</v>
      </c>
      <c r="J165">
        <v>20326</v>
      </c>
    </row>
    <row r="166" spans="1:10" x14ac:dyDescent="0.3">
      <c r="A166" t="s">
        <v>289</v>
      </c>
      <c r="B166" t="s">
        <v>16</v>
      </c>
      <c r="C166">
        <v>60</v>
      </c>
      <c r="D166" t="s">
        <v>12</v>
      </c>
      <c r="E166" t="s">
        <v>18</v>
      </c>
      <c r="F166" t="s">
        <v>27</v>
      </c>
      <c r="G166" s="1">
        <v>45806</v>
      </c>
      <c r="H166" s="1">
        <v>45814</v>
      </c>
      <c r="I166">
        <v>8</v>
      </c>
      <c r="J166">
        <v>77664</v>
      </c>
    </row>
    <row r="167" spans="1:10" x14ac:dyDescent="0.3">
      <c r="A167" t="s">
        <v>290</v>
      </c>
      <c r="B167" t="s">
        <v>58</v>
      </c>
      <c r="C167">
        <v>79</v>
      </c>
      <c r="D167" t="s">
        <v>12</v>
      </c>
      <c r="E167" t="s">
        <v>26</v>
      </c>
      <c r="F167" t="s">
        <v>23</v>
      </c>
      <c r="G167" s="1">
        <v>45963</v>
      </c>
      <c r="H167" s="1">
        <v>45973</v>
      </c>
      <c r="I167">
        <v>10</v>
      </c>
      <c r="J167">
        <v>72930</v>
      </c>
    </row>
    <row r="168" spans="1:10" x14ac:dyDescent="0.3">
      <c r="A168" t="s">
        <v>291</v>
      </c>
      <c r="B168" t="s">
        <v>142</v>
      </c>
      <c r="C168">
        <v>36</v>
      </c>
      <c r="D168" t="s">
        <v>12</v>
      </c>
      <c r="E168" t="s">
        <v>102</v>
      </c>
      <c r="F168" t="s">
        <v>23</v>
      </c>
      <c r="G168" s="1">
        <v>45856</v>
      </c>
      <c r="H168" s="1">
        <v>45858</v>
      </c>
      <c r="I168">
        <v>2</v>
      </c>
      <c r="J168">
        <v>22000</v>
      </c>
    </row>
    <row r="169" spans="1:10" x14ac:dyDescent="0.3">
      <c r="A169" t="s">
        <v>292</v>
      </c>
      <c r="B169" t="s">
        <v>64</v>
      </c>
      <c r="C169">
        <v>13</v>
      </c>
      <c r="D169" t="s">
        <v>12</v>
      </c>
      <c r="E169" t="s">
        <v>22</v>
      </c>
      <c r="F169" t="s">
        <v>27</v>
      </c>
      <c r="G169" s="1">
        <v>45780</v>
      </c>
      <c r="H169" s="1">
        <v>45782</v>
      </c>
      <c r="I169">
        <v>2</v>
      </c>
      <c r="J169">
        <v>21068</v>
      </c>
    </row>
    <row r="170" spans="1:10" x14ac:dyDescent="0.3">
      <c r="A170" t="s">
        <v>293</v>
      </c>
      <c r="B170" t="s">
        <v>294</v>
      </c>
      <c r="C170">
        <v>54</v>
      </c>
      <c r="D170" t="s">
        <v>12</v>
      </c>
      <c r="E170" t="s">
        <v>26</v>
      </c>
      <c r="F170" t="s">
        <v>27</v>
      </c>
      <c r="G170" s="1">
        <v>45832</v>
      </c>
      <c r="H170" s="1">
        <v>45845</v>
      </c>
      <c r="I170">
        <v>13</v>
      </c>
      <c r="J170">
        <v>96122</v>
      </c>
    </row>
    <row r="171" spans="1:10" x14ac:dyDescent="0.3">
      <c r="A171" t="s">
        <v>295</v>
      </c>
      <c r="B171" t="s">
        <v>137</v>
      </c>
      <c r="C171">
        <v>69</v>
      </c>
      <c r="D171" t="s">
        <v>17</v>
      </c>
      <c r="E171" t="s">
        <v>22</v>
      </c>
      <c r="F171" t="s">
        <v>34</v>
      </c>
      <c r="G171" s="1">
        <v>45794</v>
      </c>
      <c r="H171" s="1">
        <v>45800</v>
      </c>
      <c r="I171">
        <v>6</v>
      </c>
      <c r="J171">
        <v>30552</v>
      </c>
    </row>
    <row r="172" spans="1:10" x14ac:dyDescent="0.3">
      <c r="A172" t="s">
        <v>296</v>
      </c>
      <c r="B172" t="s">
        <v>297</v>
      </c>
      <c r="C172">
        <v>20</v>
      </c>
      <c r="D172" t="s">
        <v>17</v>
      </c>
      <c r="E172" t="s">
        <v>102</v>
      </c>
      <c r="F172" t="s">
        <v>14</v>
      </c>
      <c r="G172" s="1">
        <v>45940</v>
      </c>
      <c r="H172" s="1">
        <v>45950</v>
      </c>
      <c r="I172">
        <v>10</v>
      </c>
      <c r="J172">
        <v>118350</v>
      </c>
    </row>
    <row r="173" spans="1:10" x14ac:dyDescent="0.3">
      <c r="A173" t="s">
        <v>298</v>
      </c>
      <c r="B173" t="s">
        <v>154</v>
      </c>
      <c r="C173">
        <v>11</v>
      </c>
      <c r="D173" t="s">
        <v>17</v>
      </c>
      <c r="E173" t="s">
        <v>39</v>
      </c>
      <c r="F173" t="s">
        <v>19</v>
      </c>
      <c r="G173" s="1">
        <v>45912</v>
      </c>
      <c r="H173" s="1">
        <v>45913</v>
      </c>
      <c r="I173">
        <v>1</v>
      </c>
      <c r="J173">
        <v>10102</v>
      </c>
    </row>
    <row r="174" spans="1:10" x14ac:dyDescent="0.3">
      <c r="A174" t="s">
        <v>299</v>
      </c>
      <c r="B174" t="s">
        <v>249</v>
      </c>
      <c r="C174">
        <v>31</v>
      </c>
      <c r="D174" t="s">
        <v>17</v>
      </c>
      <c r="E174" t="s">
        <v>45</v>
      </c>
      <c r="F174" t="s">
        <v>19</v>
      </c>
      <c r="G174" s="1">
        <v>45815</v>
      </c>
      <c r="H174" s="1">
        <v>45828</v>
      </c>
      <c r="I174">
        <v>13</v>
      </c>
      <c r="J174">
        <v>96876</v>
      </c>
    </row>
    <row r="175" spans="1:10" x14ac:dyDescent="0.3">
      <c r="A175" t="s">
        <v>300</v>
      </c>
      <c r="B175" t="s">
        <v>301</v>
      </c>
      <c r="C175">
        <v>80</v>
      </c>
      <c r="D175" t="s">
        <v>12</v>
      </c>
      <c r="E175" t="s">
        <v>33</v>
      </c>
      <c r="F175" t="s">
        <v>34</v>
      </c>
      <c r="G175" s="1">
        <v>45797</v>
      </c>
      <c r="H175" s="1">
        <v>45812</v>
      </c>
      <c r="I175">
        <v>15</v>
      </c>
      <c r="J175">
        <v>107970</v>
      </c>
    </row>
    <row r="176" spans="1:10" x14ac:dyDescent="0.3">
      <c r="A176" t="s">
        <v>302</v>
      </c>
      <c r="B176" t="s">
        <v>303</v>
      </c>
      <c r="C176">
        <v>34</v>
      </c>
      <c r="D176" t="s">
        <v>12</v>
      </c>
      <c r="E176" t="s">
        <v>22</v>
      </c>
      <c r="F176" t="s">
        <v>42</v>
      </c>
      <c r="G176" s="1">
        <v>45705</v>
      </c>
      <c r="H176" s="1">
        <v>45706</v>
      </c>
      <c r="I176">
        <v>1</v>
      </c>
      <c r="J176">
        <v>7615</v>
      </c>
    </row>
    <row r="177" spans="1:10" x14ac:dyDescent="0.3">
      <c r="A177" t="s">
        <v>304</v>
      </c>
      <c r="B177" t="s">
        <v>112</v>
      </c>
      <c r="C177">
        <v>24</v>
      </c>
      <c r="D177" t="s">
        <v>17</v>
      </c>
      <c r="E177" t="s">
        <v>33</v>
      </c>
      <c r="F177" t="s">
        <v>23</v>
      </c>
      <c r="G177" s="1">
        <v>45770</v>
      </c>
      <c r="H177" s="1">
        <v>45776</v>
      </c>
      <c r="I177">
        <v>6</v>
      </c>
      <c r="J177">
        <v>51642</v>
      </c>
    </row>
    <row r="178" spans="1:10" x14ac:dyDescent="0.3">
      <c r="A178" t="s">
        <v>305</v>
      </c>
      <c r="B178" t="s">
        <v>306</v>
      </c>
      <c r="C178">
        <v>58</v>
      </c>
      <c r="D178" t="s">
        <v>12</v>
      </c>
      <c r="E178" t="s">
        <v>13</v>
      </c>
      <c r="F178" t="s">
        <v>14</v>
      </c>
      <c r="G178" s="1">
        <v>45839</v>
      </c>
      <c r="H178" s="1">
        <v>45847</v>
      </c>
      <c r="I178">
        <v>8</v>
      </c>
      <c r="J178">
        <v>54784</v>
      </c>
    </row>
    <row r="179" spans="1:10" x14ac:dyDescent="0.3">
      <c r="A179" t="s">
        <v>307</v>
      </c>
      <c r="B179" t="s">
        <v>308</v>
      </c>
      <c r="C179">
        <v>6</v>
      </c>
      <c r="D179" t="s">
        <v>12</v>
      </c>
      <c r="E179" t="s">
        <v>102</v>
      </c>
      <c r="F179" t="s">
        <v>34</v>
      </c>
      <c r="G179" s="1">
        <v>45795</v>
      </c>
      <c r="H179" s="1">
        <v>45804</v>
      </c>
      <c r="I179">
        <v>9</v>
      </c>
      <c r="J179">
        <v>63108</v>
      </c>
    </row>
    <row r="180" spans="1:10" x14ac:dyDescent="0.3">
      <c r="A180" t="s">
        <v>309</v>
      </c>
      <c r="B180" t="s">
        <v>306</v>
      </c>
      <c r="C180">
        <v>57</v>
      </c>
      <c r="D180" t="s">
        <v>12</v>
      </c>
      <c r="E180" t="s">
        <v>13</v>
      </c>
      <c r="F180" t="s">
        <v>27</v>
      </c>
      <c r="G180" s="1">
        <v>45761</v>
      </c>
      <c r="H180" s="1">
        <v>45774</v>
      </c>
      <c r="I180">
        <v>13</v>
      </c>
      <c r="J180">
        <v>117442</v>
      </c>
    </row>
    <row r="181" spans="1:10" x14ac:dyDescent="0.3">
      <c r="A181" t="s">
        <v>310</v>
      </c>
      <c r="B181" t="s">
        <v>297</v>
      </c>
      <c r="C181">
        <v>57</v>
      </c>
      <c r="D181" t="s">
        <v>12</v>
      </c>
      <c r="E181" t="s">
        <v>39</v>
      </c>
      <c r="F181" t="s">
        <v>59</v>
      </c>
      <c r="G181" s="1">
        <v>45751</v>
      </c>
      <c r="H181" s="1">
        <v>45762</v>
      </c>
      <c r="I181">
        <v>11</v>
      </c>
      <c r="J181">
        <v>101497</v>
      </c>
    </row>
    <row r="182" spans="1:10" x14ac:dyDescent="0.3">
      <c r="A182" t="s">
        <v>311</v>
      </c>
      <c r="B182" t="s">
        <v>312</v>
      </c>
      <c r="C182">
        <v>64</v>
      </c>
      <c r="D182" t="s">
        <v>12</v>
      </c>
      <c r="E182" t="s">
        <v>22</v>
      </c>
      <c r="F182" t="s">
        <v>62</v>
      </c>
      <c r="G182" s="1">
        <v>45658</v>
      </c>
      <c r="H182" s="1">
        <v>45659</v>
      </c>
      <c r="I182">
        <v>1</v>
      </c>
      <c r="J182">
        <v>6285</v>
      </c>
    </row>
    <row r="183" spans="1:10" x14ac:dyDescent="0.3">
      <c r="A183" t="s">
        <v>313</v>
      </c>
      <c r="B183" t="s">
        <v>52</v>
      </c>
      <c r="C183">
        <v>42</v>
      </c>
      <c r="D183" t="s">
        <v>12</v>
      </c>
      <c r="E183" t="s">
        <v>45</v>
      </c>
      <c r="F183" t="s">
        <v>34</v>
      </c>
      <c r="G183" s="1">
        <v>45887</v>
      </c>
      <c r="H183" s="1">
        <v>45889</v>
      </c>
      <c r="I183">
        <v>2</v>
      </c>
      <c r="J183">
        <v>21100</v>
      </c>
    </row>
    <row r="184" spans="1:10" x14ac:dyDescent="0.3">
      <c r="A184" t="s">
        <v>314</v>
      </c>
      <c r="B184" t="s">
        <v>38</v>
      </c>
      <c r="C184">
        <v>82</v>
      </c>
      <c r="D184" t="s">
        <v>12</v>
      </c>
      <c r="E184" t="s">
        <v>48</v>
      </c>
      <c r="F184" t="s">
        <v>14</v>
      </c>
      <c r="G184" s="1">
        <v>45682</v>
      </c>
      <c r="H184" s="1">
        <v>45693</v>
      </c>
      <c r="I184">
        <v>11</v>
      </c>
      <c r="J184">
        <v>98329</v>
      </c>
    </row>
    <row r="185" spans="1:10" x14ac:dyDescent="0.3">
      <c r="A185" t="s">
        <v>315</v>
      </c>
      <c r="B185" t="s">
        <v>100</v>
      </c>
      <c r="C185">
        <v>90</v>
      </c>
      <c r="D185" t="s">
        <v>12</v>
      </c>
      <c r="E185" t="s">
        <v>33</v>
      </c>
      <c r="F185" t="s">
        <v>27</v>
      </c>
      <c r="G185" s="1">
        <v>45870</v>
      </c>
      <c r="H185" s="1">
        <v>45876</v>
      </c>
      <c r="I185">
        <v>6</v>
      </c>
      <c r="J185">
        <v>29844</v>
      </c>
    </row>
    <row r="186" spans="1:10" x14ac:dyDescent="0.3">
      <c r="A186" t="s">
        <v>316</v>
      </c>
      <c r="B186" t="s">
        <v>203</v>
      </c>
      <c r="C186">
        <v>77</v>
      </c>
      <c r="D186" t="s">
        <v>12</v>
      </c>
      <c r="E186" t="s">
        <v>45</v>
      </c>
      <c r="F186" t="s">
        <v>34</v>
      </c>
      <c r="G186" s="1">
        <v>45880</v>
      </c>
      <c r="H186" s="1">
        <v>45895</v>
      </c>
      <c r="I186">
        <v>15</v>
      </c>
      <c r="J186">
        <v>68805</v>
      </c>
    </row>
    <row r="187" spans="1:10" x14ac:dyDescent="0.3">
      <c r="A187" t="s">
        <v>317</v>
      </c>
      <c r="B187" t="s">
        <v>247</v>
      </c>
      <c r="C187">
        <v>74</v>
      </c>
      <c r="D187" t="s">
        <v>12</v>
      </c>
      <c r="E187" t="s">
        <v>33</v>
      </c>
      <c r="F187" t="s">
        <v>42</v>
      </c>
      <c r="G187" s="1">
        <v>45771</v>
      </c>
      <c r="H187" s="1">
        <v>45784</v>
      </c>
      <c r="I187">
        <v>13</v>
      </c>
      <c r="J187">
        <v>54574</v>
      </c>
    </row>
    <row r="188" spans="1:10" x14ac:dyDescent="0.3">
      <c r="A188" t="s">
        <v>318</v>
      </c>
      <c r="B188" t="s">
        <v>236</v>
      </c>
      <c r="C188">
        <v>53</v>
      </c>
      <c r="D188" t="s">
        <v>12</v>
      </c>
      <c r="E188" t="s">
        <v>30</v>
      </c>
      <c r="F188" t="s">
        <v>23</v>
      </c>
      <c r="G188" s="1">
        <v>45691</v>
      </c>
      <c r="H188" s="1">
        <v>45692</v>
      </c>
      <c r="I188">
        <v>1</v>
      </c>
      <c r="J188">
        <v>4553</v>
      </c>
    </row>
    <row r="189" spans="1:10" x14ac:dyDescent="0.3">
      <c r="A189" t="s">
        <v>319</v>
      </c>
      <c r="B189" t="s">
        <v>47</v>
      </c>
      <c r="C189">
        <v>50</v>
      </c>
      <c r="D189" t="s">
        <v>12</v>
      </c>
      <c r="E189" t="s">
        <v>102</v>
      </c>
      <c r="F189" t="s">
        <v>42</v>
      </c>
      <c r="G189" s="1">
        <v>45714</v>
      </c>
      <c r="H189" s="1">
        <v>45722</v>
      </c>
      <c r="I189">
        <v>8</v>
      </c>
      <c r="J189">
        <v>90088</v>
      </c>
    </row>
    <row r="190" spans="1:10" x14ac:dyDescent="0.3">
      <c r="A190" t="s">
        <v>320</v>
      </c>
      <c r="B190" t="s">
        <v>21</v>
      </c>
      <c r="C190">
        <v>59</v>
      </c>
      <c r="D190" t="s">
        <v>17</v>
      </c>
      <c r="E190" t="s">
        <v>45</v>
      </c>
      <c r="F190" t="s">
        <v>14</v>
      </c>
      <c r="G190" s="1">
        <v>45785</v>
      </c>
      <c r="H190" s="1">
        <v>45791</v>
      </c>
      <c r="I190">
        <v>6</v>
      </c>
      <c r="J190">
        <v>62226</v>
      </c>
    </row>
    <row r="191" spans="1:10" x14ac:dyDescent="0.3">
      <c r="A191" t="s">
        <v>321</v>
      </c>
      <c r="B191" t="s">
        <v>322</v>
      </c>
      <c r="C191">
        <v>78</v>
      </c>
      <c r="D191" t="s">
        <v>17</v>
      </c>
      <c r="E191" t="s">
        <v>33</v>
      </c>
      <c r="F191" t="s">
        <v>19</v>
      </c>
      <c r="G191" s="1">
        <v>46011</v>
      </c>
      <c r="H191" s="1">
        <v>46021</v>
      </c>
      <c r="I191">
        <v>10</v>
      </c>
      <c r="J191">
        <v>98910</v>
      </c>
    </row>
    <row r="192" spans="1:10" x14ac:dyDescent="0.3">
      <c r="A192" t="s">
        <v>323</v>
      </c>
      <c r="B192" t="s">
        <v>36</v>
      </c>
      <c r="C192">
        <v>8</v>
      </c>
      <c r="D192" t="s">
        <v>12</v>
      </c>
      <c r="E192" t="s">
        <v>39</v>
      </c>
      <c r="F192" t="s">
        <v>42</v>
      </c>
      <c r="G192" s="1">
        <v>45787</v>
      </c>
      <c r="H192" s="1">
        <v>45789</v>
      </c>
      <c r="I192">
        <v>2</v>
      </c>
      <c r="J192">
        <v>17318</v>
      </c>
    </row>
    <row r="193" spans="1:10" x14ac:dyDescent="0.3">
      <c r="A193" t="s">
        <v>324</v>
      </c>
      <c r="B193" t="s">
        <v>325</v>
      </c>
      <c r="C193">
        <v>81</v>
      </c>
      <c r="D193" t="s">
        <v>17</v>
      </c>
      <c r="E193" t="s">
        <v>26</v>
      </c>
      <c r="F193" t="s">
        <v>59</v>
      </c>
      <c r="G193" s="1">
        <v>45985</v>
      </c>
      <c r="H193" s="1">
        <v>45999</v>
      </c>
      <c r="I193">
        <v>14</v>
      </c>
      <c r="J193">
        <v>137214</v>
      </c>
    </row>
    <row r="194" spans="1:10" x14ac:dyDescent="0.3">
      <c r="A194" t="s">
        <v>326</v>
      </c>
      <c r="B194" t="s">
        <v>130</v>
      </c>
      <c r="C194">
        <v>42</v>
      </c>
      <c r="D194" t="s">
        <v>12</v>
      </c>
      <c r="E194" t="s">
        <v>13</v>
      </c>
      <c r="F194" t="s">
        <v>62</v>
      </c>
      <c r="G194" s="1">
        <v>45783</v>
      </c>
      <c r="H194" s="1">
        <v>45787</v>
      </c>
      <c r="I194">
        <v>4</v>
      </c>
      <c r="J194">
        <v>27892</v>
      </c>
    </row>
    <row r="195" spans="1:10" x14ac:dyDescent="0.3">
      <c r="A195" t="s">
        <v>327</v>
      </c>
      <c r="B195" t="s">
        <v>247</v>
      </c>
      <c r="C195">
        <v>3</v>
      </c>
      <c r="D195" t="s">
        <v>12</v>
      </c>
      <c r="E195" t="s">
        <v>13</v>
      </c>
      <c r="F195" t="s">
        <v>19</v>
      </c>
      <c r="G195" s="1">
        <v>45855</v>
      </c>
      <c r="H195" s="1">
        <v>45864</v>
      </c>
      <c r="I195">
        <v>9</v>
      </c>
      <c r="J195">
        <v>105759</v>
      </c>
    </row>
    <row r="196" spans="1:10" x14ac:dyDescent="0.3">
      <c r="A196" t="s">
        <v>328</v>
      </c>
      <c r="B196" t="s">
        <v>36</v>
      </c>
      <c r="C196">
        <v>66</v>
      </c>
      <c r="D196" t="s">
        <v>17</v>
      </c>
      <c r="E196" t="s">
        <v>30</v>
      </c>
      <c r="F196" t="s">
        <v>14</v>
      </c>
      <c r="G196" s="1">
        <v>45896</v>
      </c>
      <c r="H196" s="1">
        <v>45898</v>
      </c>
      <c r="I196">
        <v>2</v>
      </c>
      <c r="J196">
        <v>14852</v>
      </c>
    </row>
    <row r="197" spans="1:10" x14ac:dyDescent="0.3">
      <c r="A197" t="s">
        <v>329</v>
      </c>
      <c r="B197" t="s">
        <v>330</v>
      </c>
      <c r="C197">
        <v>50</v>
      </c>
      <c r="D197" t="s">
        <v>17</v>
      </c>
      <c r="E197" t="s">
        <v>48</v>
      </c>
      <c r="F197" t="s">
        <v>34</v>
      </c>
      <c r="G197" s="1">
        <v>45660</v>
      </c>
      <c r="H197" s="1">
        <v>45661</v>
      </c>
      <c r="I197">
        <v>1</v>
      </c>
      <c r="J197">
        <v>8781</v>
      </c>
    </row>
    <row r="198" spans="1:10" x14ac:dyDescent="0.3">
      <c r="A198" t="s">
        <v>331</v>
      </c>
      <c r="B198" t="s">
        <v>82</v>
      </c>
      <c r="C198">
        <v>43</v>
      </c>
      <c r="D198" t="s">
        <v>17</v>
      </c>
      <c r="E198" t="s">
        <v>26</v>
      </c>
      <c r="F198" t="s">
        <v>42</v>
      </c>
      <c r="G198" s="1">
        <v>45849</v>
      </c>
      <c r="H198" s="1">
        <v>45852</v>
      </c>
      <c r="I198">
        <v>3</v>
      </c>
      <c r="J198">
        <v>25155</v>
      </c>
    </row>
    <row r="199" spans="1:10" x14ac:dyDescent="0.3">
      <c r="A199" t="s">
        <v>332</v>
      </c>
      <c r="B199" t="s">
        <v>312</v>
      </c>
      <c r="C199">
        <v>61</v>
      </c>
      <c r="D199" t="s">
        <v>12</v>
      </c>
      <c r="E199" t="s">
        <v>26</v>
      </c>
      <c r="F199" t="s">
        <v>19</v>
      </c>
      <c r="G199" s="1">
        <v>45901</v>
      </c>
      <c r="H199" s="1">
        <v>45902</v>
      </c>
      <c r="I199">
        <v>1</v>
      </c>
      <c r="J199">
        <v>4394</v>
      </c>
    </row>
    <row r="200" spans="1:10" x14ac:dyDescent="0.3">
      <c r="A200" t="s">
        <v>333</v>
      </c>
      <c r="B200" t="s">
        <v>334</v>
      </c>
      <c r="C200">
        <v>17</v>
      </c>
      <c r="D200" t="s">
        <v>17</v>
      </c>
      <c r="E200" t="s">
        <v>39</v>
      </c>
      <c r="F200" t="s">
        <v>23</v>
      </c>
      <c r="G200" s="1">
        <v>45705</v>
      </c>
      <c r="H200" s="1">
        <v>45719</v>
      </c>
      <c r="I200">
        <v>14</v>
      </c>
      <c r="J200">
        <v>88060</v>
      </c>
    </row>
    <row r="201" spans="1:10" x14ac:dyDescent="0.3">
      <c r="A201" t="s">
        <v>335</v>
      </c>
      <c r="B201" t="s">
        <v>47</v>
      </c>
      <c r="C201">
        <v>47</v>
      </c>
      <c r="D201" t="s">
        <v>12</v>
      </c>
      <c r="E201" t="s">
        <v>26</v>
      </c>
      <c r="F201" t="s">
        <v>42</v>
      </c>
      <c r="G201" s="1">
        <v>45718</v>
      </c>
      <c r="H201" s="1">
        <v>45724</v>
      </c>
      <c r="I201">
        <v>6</v>
      </c>
      <c r="J201">
        <v>64974</v>
      </c>
    </row>
    <row r="202" spans="1:10" x14ac:dyDescent="0.3">
      <c r="A202" t="s">
        <v>336</v>
      </c>
      <c r="B202" t="s">
        <v>247</v>
      </c>
      <c r="C202">
        <v>65</v>
      </c>
      <c r="D202" t="s">
        <v>17</v>
      </c>
      <c r="E202" t="s">
        <v>13</v>
      </c>
      <c r="F202" t="s">
        <v>14</v>
      </c>
      <c r="G202" s="1">
        <v>45752</v>
      </c>
      <c r="H202" s="1">
        <v>45755</v>
      </c>
      <c r="I202">
        <v>3</v>
      </c>
      <c r="J202">
        <v>31710</v>
      </c>
    </row>
    <row r="203" spans="1:10" x14ac:dyDescent="0.3">
      <c r="A203" t="s">
        <v>337</v>
      </c>
      <c r="B203" t="s">
        <v>112</v>
      </c>
      <c r="C203">
        <v>6</v>
      </c>
      <c r="D203" t="s">
        <v>17</v>
      </c>
      <c r="E203" t="s">
        <v>13</v>
      </c>
      <c r="F203" t="s">
        <v>59</v>
      </c>
      <c r="G203" s="1">
        <v>45906</v>
      </c>
      <c r="H203" s="1">
        <v>45908</v>
      </c>
      <c r="I203">
        <v>2</v>
      </c>
      <c r="J203">
        <v>15488</v>
      </c>
    </row>
    <row r="204" spans="1:10" x14ac:dyDescent="0.3">
      <c r="A204" t="s">
        <v>338</v>
      </c>
      <c r="B204" t="s">
        <v>120</v>
      </c>
      <c r="C204">
        <v>61</v>
      </c>
      <c r="D204" t="s">
        <v>17</v>
      </c>
      <c r="E204" t="s">
        <v>26</v>
      </c>
      <c r="F204" t="s">
        <v>19</v>
      </c>
      <c r="G204" s="1">
        <v>45872</v>
      </c>
      <c r="H204" s="1">
        <v>45879</v>
      </c>
      <c r="I204">
        <v>7</v>
      </c>
      <c r="J204">
        <v>45703</v>
      </c>
    </row>
    <row r="205" spans="1:10" x14ac:dyDescent="0.3">
      <c r="A205" t="s">
        <v>339</v>
      </c>
      <c r="B205" t="s">
        <v>123</v>
      </c>
      <c r="C205">
        <v>2</v>
      </c>
      <c r="D205" t="s">
        <v>17</v>
      </c>
      <c r="E205" t="s">
        <v>18</v>
      </c>
      <c r="F205" t="s">
        <v>19</v>
      </c>
      <c r="G205" s="1">
        <v>45904</v>
      </c>
      <c r="H205" s="1">
        <v>45916</v>
      </c>
      <c r="I205">
        <v>12</v>
      </c>
      <c r="J205">
        <v>70200</v>
      </c>
    </row>
    <row r="206" spans="1:10" x14ac:dyDescent="0.3">
      <c r="A206" t="s">
        <v>340</v>
      </c>
      <c r="B206" t="s">
        <v>341</v>
      </c>
      <c r="C206">
        <v>46</v>
      </c>
      <c r="D206" t="s">
        <v>12</v>
      </c>
      <c r="E206" t="s">
        <v>48</v>
      </c>
      <c r="F206" t="s">
        <v>62</v>
      </c>
      <c r="G206" s="1">
        <v>45938</v>
      </c>
      <c r="H206" s="1">
        <v>45951</v>
      </c>
      <c r="I206">
        <v>13</v>
      </c>
      <c r="J206">
        <v>78728</v>
      </c>
    </row>
    <row r="207" spans="1:10" x14ac:dyDescent="0.3">
      <c r="A207" t="s">
        <v>342</v>
      </c>
      <c r="B207" t="s">
        <v>343</v>
      </c>
      <c r="C207">
        <v>1</v>
      </c>
      <c r="D207" t="s">
        <v>12</v>
      </c>
      <c r="E207" t="s">
        <v>48</v>
      </c>
      <c r="F207" t="s">
        <v>23</v>
      </c>
      <c r="G207" s="1">
        <v>45956</v>
      </c>
      <c r="H207" s="1">
        <v>45969</v>
      </c>
      <c r="I207">
        <v>13</v>
      </c>
      <c r="J207">
        <v>153309</v>
      </c>
    </row>
    <row r="208" spans="1:10" x14ac:dyDescent="0.3">
      <c r="A208" t="s">
        <v>344</v>
      </c>
      <c r="B208" t="s">
        <v>345</v>
      </c>
      <c r="C208">
        <v>90</v>
      </c>
      <c r="D208" t="s">
        <v>17</v>
      </c>
      <c r="E208" t="s">
        <v>33</v>
      </c>
      <c r="F208" t="s">
        <v>19</v>
      </c>
      <c r="G208" s="1">
        <v>46021</v>
      </c>
      <c r="H208" s="1">
        <v>46031</v>
      </c>
      <c r="I208">
        <v>10</v>
      </c>
      <c r="J208">
        <v>48780</v>
      </c>
    </row>
    <row r="209" spans="1:10" x14ac:dyDescent="0.3">
      <c r="A209" t="s">
        <v>346</v>
      </c>
      <c r="B209" t="s">
        <v>343</v>
      </c>
      <c r="C209">
        <v>32</v>
      </c>
      <c r="D209" t="s">
        <v>17</v>
      </c>
      <c r="E209" t="s">
        <v>22</v>
      </c>
      <c r="F209" t="s">
        <v>34</v>
      </c>
      <c r="G209" s="1">
        <v>45779</v>
      </c>
      <c r="H209" s="1">
        <v>45782</v>
      </c>
      <c r="I209">
        <v>3</v>
      </c>
      <c r="J209">
        <v>32331</v>
      </c>
    </row>
    <row r="210" spans="1:10" x14ac:dyDescent="0.3">
      <c r="A210" t="s">
        <v>347</v>
      </c>
      <c r="B210" t="s">
        <v>259</v>
      </c>
      <c r="C210">
        <v>15</v>
      </c>
      <c r="D210" t="s">
        <v>12</v>
      </c>
      <c r="E210" t="s">
        <v>13</v>
      </c>
      <c r="F210" t="s">
        <v>62</v>
      </c>
      <c r="G210" s="1">
        <v>45887</v>
      </c>
      <c r="H210" s="1">
        <v>45888</v>
      </c>
      <c r="I210">
        <v>1</v>
      </c>
      <c r="J210">
        <v>4411</v>
      </c>
    </row>
    <row r="211" spans="1:10" x14ac:dyDescent="0.3">
      <c r="A211" t="s">
        <v>348</v>
      </c>
      <c r="B211" t="s">
        <v>209</v>
      </c>
      <c r="C211">
        <v>85</v>
      </c>
      <c r="D211" t="s">
        <v>12</v>
      </c>
      <c r="E211" t="s">
        <v>18</v>
      </c>
      <c r="F211" t="s">
        <v>42</v>
      </c>
      <c r="G211" s="1">
        <v>45878</v>
      </c>
      <c r="H211" s="1">
        <v>45885</v>
      </c>
      <c r="I211">
        <v>7</v>
      </c>
      <c r="J211">
        <v>71785</v>
      </c>
    </row>
    <row r="212" spans="1:10" x14ac:dyDescent="0.3">
      <c r="A212" t="s">
        <v>349</v>
      </c>
      <c r="B212" t="s">
        <v>181</v>
      </c>
      <c r="C212">
        <v>58</v>
      </c>
      <c r="D212" t="s">
        <v>17</v>
      </c>
      <c r="E212" t="s">
        <v>33</v>
      </c>
      <c r="F212" t="s">
        <v>19</v>
      </c>
      <c r="G212" s="1">
        <v>45888</v>
      </c>
      <c r="H212" s="1">
        <v>45899</v>
      </c>
      <c r="I212">
        <v>11</v>
      </c>
      <c r="J212">
        <v>47817</v>
      </c>
    </row>
    <row r="213" spans="1:10" x14ac:dyDescent="0.3">
      <c r="A213" t="s">
        <v>350</v>
      </c>
      <c r="B213" t="s">
        <v>56</v>
      </c>
      <c r="C213">
        <v>40</v>
      </c>
      <c r="D213" t="s">
        <v>12</v>
      </c>
      <c r="E213" t="s">
        <v>30</v>
      </c>
      <c r="F213" t="s">
        <v>14</v>
      </c>
      <c r="G213" s="1">
        <v>45915</v>
      </c>
      <c r="H213" s="1">
        <v>45921</v>
      </c>
      <c r="I213">
        <v>6</v>
      </c>
      <c r="J213">
        <v>33822</v>
      </c>
    </row>
    <row r="214" spans="1:10" x14ac:dyDescent="0.3">
      <c r="A214" t="s">
        <v>351</v>
      </c>
      <c r="B214" t="s">
        <v>11</v>
      </c>
      <c r="C214">
        <v>86</v>
      </c>
      <c r="D214" t="s">
        <v>12</v>
      </c>
      <c r="E214" t="s">
        <v>33</v>
      </c>
      <c r="F214" t="s">
        <v>23</v>
      </c>
      <c r="G214" s="1">
        <v>45924</v>
      </c>
      <c r="H214" s="1">
        <v>45936</v>
      </c>
      <c r="I214">
        <v>12</v>
      </c>
      <c r="J214">
        <v>63108</v>
      </c>
    </row>
    <row r="215" spans="1:10" x14ac:dyDescent="0.3">
      <c r="A215" t="s">
        <v>352</v>
      </c>
      <c r="B215" t="s">
        <v>353</v>
      </c>
      <c r="C215">
        <v>56</v>
      </c>
      <c r="D215" t="s">
        <v>17</v>
      </c>
      <c r="E215" t="s">
        <v>22</v>
      </c>
      <c r="F215" t="s">
        <v>23</v>
      </c>
      <c r="G215" s="1">
        <v>45974</v>
      </c>
      <c r="H215" s="1">
        <v>45988</v>
      </c>
      <c r="I215">
        <v>14</v>
      </c>
      <c r="J215">
        <v>151760</v>
      </c>
    </row>
    <row r="216" spans="1:10" x14ac:dyDescent="0.3">
      <c r="A216" t="s">
        <v>354</v>
      </c>
      <c r="B216" t="s">
        <v>168</v>
      </c>
      <c r="C216">
        <v>34</v>
      </c>
      <c r="D216" t="s">
        <v>12</v>
      </c>
      <c r="E216" t="s">
        <v>30</v>
      </c>
      <c r="F216" t="s">
        <v>42</v>
      </c>
      <c r="G216" s="1">
        <v>45819</v>
      </c>
      <c r="H216" s="1">
        <v>45834</v>
      </c>
      <c r="I216">
        <v>15</v>
      </c>
      <c r="J216">
        <v>93975</v>
      </c>
    </row>
    <row r="217" spans="1:10" x14ac:dyDescent="0.3">
      <c r="A217" t="s">
        <v>355</v>
      </c>
      <c r="B217" t="s">
        <v>297</v>
      </c>
      <c r="C217">
        <v>10</v>
      </c>
      <c r="D217" t="s">
        <v>12</v>
      </c>
      <c r="E217" t="s">
        <v>26</v>
      </c>
      <c r="F217" t="s">
        <v>59</v>
      </c>
      <c r="G217" s="1">
        <v>45765</v>
      </c>
      <c r="H217" s="1">
        <v>45768</v>
      </c>
      <c r="I217">
        <v>3</v>
      </c>
      <c r="J217">
        <v>13113</v>
      </c>
    </row>
    <row r="218" spans="1:10" x14ac:dyDescent="0.3">
      <c r="A218" t="s">
        <v>356</v>
      </c>
      <c r="B218" t="s">
        <v>189</v>
      </c>
      <c r="C218">
        <v>45</v>
      </c>
      <c r="D218" t="s">
        <v>17</v>
      </c>
      <c r="E218" t="s">
        <v>26</v>
      </c>
      <c r="F218" t="s">
        <v>34</v>
      </c>
      <c r="G218" s="1">
        <v>45989</v>
      </c>
      <c r="H218" s="1">
        <v>46004</v>
      </c>
      <c r="I218">
        <v>15</v>
      </c>
      <c r="J218">
        <v>115785</v>
      </c>
    </row>
    <row r="219" spans="1:10" x14ac:dyDescent="0.3">
      <c r="A219" t="s">
        <v>357</v>
      </c>
      <c r="B219" t="s">
        <v>256</v>
      </c>
      <c r="C219">
        <v>49</v>
      </c>
      <c r="D219" t="s">
        <v>12</v>
      </c>
      <c r="E219" t="s">
        <v>30</v>
      </c>
      <c r="F219" t="s">
        <v>23</v>
      </c>
      <c r="G219" s="1">
        <v>45738</v>
      </c>
      <c r="H219" s="1">
        <v>45739</v>
      </c>
      <c r="I219">
        <v>1</v>
      </c>
      <c r="J219">
        <v>11189</v>
      </c>
    </row>
    <row r="220" spans="1:10" x14ac:dyDescent="0.3">
      <c r="A220" t="s">
        <v>358</v>
      </c>
      <c r="B220" t="s">
        <v>130</v>
      </c>
      <c r="C220">
        <v>78</v>
      </c>
      <c r="D220" t="s">
        <v>12</v>
      </c>
      <c r="E220" t="s">
        <v>13</v>
      </c>
      <c r="F220" t="s">
        <v>62</v>
      </c>
      <c r="G220" s="1">
        <v>45921</v>
      </c>
      <c r="H220" s="1">
        <v>45926</v>
      </c>
      <c r="I220">
        <v>5</v>
      </c>
      <c r="J220">
        <v>26350</v>
      </c>
    </row>
    <row r="221" spans="1:10" x14ac:dyDescent="0.3">
      <c r="A221" t="s">
        <v>359</v>
      </c>
      <c r="B221" t="s">
        <v>47</v>
      </c>
      <c r="C221">
        <v>7</v>
      </c>
      <c r="D221" t="s">
        <v>12</v>
      </c>
      <c r="E221" t="s">
        <v>39</v>
      </c>
      <c r="F221" t="s">
        <v>62</v>
      </c>
      <c r="G221" s="1">
        <v>45963</v>
      </c>
      <c r="H221" s="1">
        <v>45964</v>
      </c>
      <c r="I221">
        <v>1</v>
      </c>
      <c r="J221">
        <v>9122</v>
      </c>
    </row>
    <row r="222" spans="1:10" x14ac:dyDescent="0.3">
      <c r="A222" t="s">
        <v>360</v>
      </c>
      <c r="B222" t="s">
        <v>361</v>
      </c>
      <c r="C222">
        <v>6</v>
      </c>
      <c r="D222" t="s">
        <v>17</v>
      </c>
      <c r="E222" t="s">
        <v>102</v>
      </c>
      <c r="F222" t="s">
        <v>27</v>
      </c>
      <c r="G222" s="1">
        <v>45988</v>
      </c>
      <c r="H222" s="1">
        <v>46001</v>
      </c>
      <c r="I222">
        <v>13</v>
      </c>
      <c r="J222">
        <v>142142</v>
      </c>
    </row>
    <row r="223" spans="1:10" x14ac:dyDescent="0.3">
      <c r="A223" t="s">
        <v>362</v>
      </c>
      <c r="B223" t="s">
        <v>86</v>
      </c>
      <c r="C223">
        <v>74</v>
      </c>
      <c r="D223" t="s">
        <v>12</v>
      </c>
      <c r="E223" t="s">
        <v>39</v>
      </c>
      <c r="F223" t="s">
        <v>27</v>
      </c>
      <c r="G223" s="1">
        <v>45760</v>
      </c>
      <c r="H223" s="1">
        <v>45764</v>
      </c>
      <c r="I223">
        <v>4</v>
      </c>
      <c r="J223">
        <v>27460</v>
      </c>
    </row>
    <row r="224" spans="1:10" x14ac:dyDescent="0.3">
      <c r="A224" t="s">
        <v>363</v>
      </c>
      <c r="B224" t="s">
        <v>158</v>
      </c>
      <c r="C224">
        <v>64</v>
      </c>
      <c r="D224" t="s">
        <v>17</v>
      </c>
      <c r="E224" t="s">
        <v>102</v>
      </c>
      <c r="F224" t="s">
        <v>14</v>
      </c>
      <c r="G224" s="1">
        <v>45661</v>
      </c>
      <c r="H224" s="1">
        <v>45668</v>
      </c>
      <c r="I224">
        <v>7</v>
      </c>
      <c r="J224">
        <v>82474</v>
      </c>
    </row>
    <row r="225" spans="1:10" x14ac:dyDescent="0.3">
      <c r="A225" t="s">
        <v>364</v>
      </c>
      <c r="B225" t="s">
        <v>89</v>
      </c>
      <c r="C225">
        <v>64</v>
      </c>
      <c r="D225" t="s">
        <v>17</v>
      </c>
      <c r="E225" t="s">
        <v>33</v>
      </c>
      <c r="F225" t="s">
        <v>34</v>
      </c>
      <c r="G225" s="1">
        <v>45973</v>
      </c>
      <c r="H225" s="1">
        <v>45987</v>
      </c>
      <c r="I225">
        <v>14</v>
      </c>
      <c r="J225">
        <v>165620</v>
      </c>
    </row>
    <row r="226" spans="1:10" x14ac:dyDescent="0.3">
      <c r="A226" t="s">
        <v>365</v>
      </c>
      <c r="B226" t="s">
        <v>366</v>
      </c>
      <c r="C226">
        <v>22</v>
      </c>
      <c r="D226" t="s">
        <v>17</v>
      </c>
      <c r="E226" t="s">
        <v>39</v>
      </c>
      <c r="F226" t="s">
        <v>59</v>
      </c>
      <c r="G226" s="1">
        <v>45861</v>
      </c>
      <c r="H226" s="1">
        <v>45875</v>
      </c>
      <c r="I226">
        <v>14</v>
      </c>
      <c r="J226">
        <v>83230</v>
      </c>
    </row>
    <row r="227" spans="1:10" x14ac:dyDescent="0.3">
      <c r="A227" t="s">
        <v>367</v>
      </c>
      <c r="B227" t="s">
        <v>96</v>
      </c>
      <c r="C227">
        <v>81</v>
      </c>
      <c r="D227" t="s">
        <v>17</v>
      </c>
      <c r="E227" t="s">
        <v>33</v>
      </c>
      <c r="F227" t="s">
        <v>19</v>
      </c>
      <c r="G227" s="1">
        <v>45758</v>
      </c>
      <c r="H227" s="1">
        <v>45768</v>
      </c>
      <c r="I227">
        <v>10</v>
      </c>
      <c r="J227">
        <v>103650</v>
      </c>
    </row>
    <row r="228" spans="1:10" x14ac:dyDescent="0.3">
      <c r="A228" t="s">
        <v>368</v>
      </c>
      <c r="B228" t="s">
        <v>148</v>
      </c>
      <c r="C228">
        <v>81</v>
      </c>
      <c r="D228" t="s">
        <v>17</v>
      </c>
      <c r="E228" t="s">
        <v>30</v>
      </c>
      <c r="F228" t="s">
        <v>42</v>
      </c>
      <c r="G228" s="1">
        <v>45939</v>
      </c>
      <c r="H228" s="1">
        <v>45946</v>
      </c>
      <c r="I228">
        <v>7</v>
      </c>
      <c r="J228">
        <v>45920</v>
      </c>
    </row>
    <row r="229" spans="1:10" x14ac:dyDescent="0.3">
      <c r="A229" t="s">
        <v>369</v>
      </c>
      <c r="B229" t="s">
        <v>297</v>
      </c>
      <c r="C229">
        <v>14</v>
      </c>
      <c r="D229" t="s">
        <v>12</v>
      </c>
      <c r="E229" t="s">
        <v>33</v>
      </c>
      <c r="F229" t="s">
        <v>19</v>
      </c>
      <c r="G229" s="1">
        <v>45716</v>
      </c>
      <c r="H229" s="1">
        <v>45718</v>
      </c>
      <c r="I229">
        <v>2</v>
      </c>
      <c r="J229">
        <v>21776</v>
      </c>
    </row>
    <row r="230" spans="1:10" x14ac:dyDescent="0.3">
      <c r="A230" t="s">
        <v>370</v>
      </c>
      <c r="B230" t="s">
        <v>371</v>
      </c>
      <c r="C230">
        <v>38</v>
      </c>
      <c r="D230" t="s">
        <v>17</v>
      </c>
      <c r="E230" t="s">
        <v>102</v>
      </c>
      <c r="F230" t="s">
        <v>19</v>
      </c>
      <c r="G230" s="1">
        <v>45700</v>
      </c>
      <c r="H230" s="1">
        <v>45711</v>
      </c>
      <c r="I230">
        <v>11</v>
      </c>
      <c r="J230">
        <v>96107</v>
      </c>
    </row>
    <row r="231" spans="1:10" x14ac:dyDescent="0.3">
      <c r="A231" t="s">
        <v>372</v>
      </c>
      <c r="B231" t="s">
        <v>118</v>
      </c>
      <c r="C231">
        <v>61</v>
      </c>
      <c r="D231" t="s">
        <v>17</v>
      </c>
      <c r="E231" t="s">
        <v>13</v>
      </c>
      <c r="F231" t="s">
        <v>19</v>
      </c>
      <c r="G231" s="1">
        <v>45925</v>
      </c>
      <c r="H231" s="1">
        <v>45933</v>
      </c>
      <c r="I231">
        <v>8</v>
      </c>
      <c r="J231">
        <v>35224</v>
      </c>
    </row>
    <row r="232" spans="1:10" x14ac:dyDescent="0.3">
      <c r="A232" t="s">
        <v>373</v>
      </c>
      <c r="B232" t="s">
        <v>283</v>
      </c>
      <c r="C232">
        <v>64</v>
      </c>
      <c r="D232" t="s">
        <v>12</v>
      </c>
      <c r="E232" t="s">
        <v>13</v>
      </c>
      <c r="F232" t="s">
        <v>42</v>
      </c>
      <c r="G232" s="1">
        <v>45806</v>
      </c>
      <c r="H232" s="1">
        <v>45812</v>
      </c>
      <c r="I232">
        <v>6</v>
      </c>
      <c r="J232">
        <v>69918</v>
      </c>
    </row>
    <row r="233" spans="1:10" x14ac:dyDescent="0.3">
      <c r="A233" t="s">
        <v>374</v>
      </c>
      <c r="B233" t="s">
        <v>375</v>
      </c>
      <c r="C233">
        <v>74</v>
      </c>
      <c r="D233" t="s">
        <v>17</v>
      </c>
      <c r="E233" t="s">
        <v>22</v>
      </c>
      <c r="F233" t="s">
        <v>14</v>
      </c>
      <c r="G233" s="1">
        <v>45848</v>
      </c>
      <c r="H233" s="1">
        <v>45862</v>
      </c>
      <c r="I233">
        <v>14</v>
      </c>
      <c r="J233">
        <v>56126</v>
      </c>
    </row>
    <row r="234" spans="1:10" x14ac:dyDescent="0.3">
      <c r="A234" t="s">
        <v>376</v>
      </c>
      <c r="B234" t="s">
        <v>377</v>
      </c>
      <c r="C234">
        <v>90</v>
      </c>
      <c r="D234" t="s">
        <v>17</v>
      </c>
      <c r="E234" t="s">
        <v>33</v>
      </c>
      <c r="F234" t="s">
        <v>62</v>
      </c>
      <c r="G234" s="1">
        <v>45977</v>
      </c>
      <c r="H234" s="1">
        <v>45984</v>
      </c>
      <c r="I234">
        <v>7</v>
      </c>
      <c r="J234">
        <v>49672</v>
      </c>
    </row>
    <row r="235" spans="1:10" x14ac:dyDescent="0.3">
      <c r="A235" t="s">
        <v>378</v>
      </c>
      <c r="B235" t="s">
        <v>379</v>
      </c>
      <c r="C235">
        <v>30</v>
      </c>
      <c r="D235" t="s">
        <v>17</v>
      </c>
      <c r="E235" t="s">
        <v>33</v>
      </c>
      <c r="F235" t="s">
        <v>62</v>
      </c>
      <c r="G235" s="1">
        <v>45780</v>
      </c>
      <c r="H235" s="1">
        <v>45786</v>
      </c>
      <c r="I235">
        <v>6</v>
      </c>
      <c r="J235">
        <v>33180</v>
      </c>
    </row>
    <row r="236" spans="1:10" x14ac:dyDescent="0.3">
      <c r="A236" t="s">
        <v>380</v>
      </c>
      <c r="B236" t="s">
        <v>381</v>
      </c>
      <c r="C236">
        <v>82</v>
      </c>
      <c r="D236" t="s">
        <v>12</v>
      </c>
      <c r="E236" t="s">
        <v>18</v>
      </c>
      <c r="F236" t="s">
        <v>14</v>
      </c>
      <c r="G236" s="1">
        <v>45711</v>
      </c>
      <c r="H236" s="1">
        <v>45720</v>
      </c>
      <c r="I236">
        <v>9</v>
      </c>
      <c r="J236">
        <v>74727</v>
      </c>
    </row>
    <row r="237" spans="1:10" x14ac:dyDescent="0.3">
      <c r="A237" t="s">
        <v>382</v>
      </c>
      <c r="B237" t="s">
        <v>38</v>
      </c>
      <c r="C237">
        <v>46</v>
      </c>
      <c r="D237" t="s">
        <v>12</v>
      </c>
      <c r="E237" t="s">
        <v>39</v>
      </c>
      <c r="F237" t="s">
        <v>27</v>
      </c>
      <c r="G237" s="1">
        <v>45832</v>
      </c>
      <c r="H237" s="1">
        <v>45845</v>
      </c>
      <c r="I237">
        <v>13</v>
      </c>
      <c r="J237">
        <v>101686</v>
      </c>
    </row>
    <row r="238" spans="1:10" x14ac:dyDescent="0.3">
      <c r="A238" t="s">
        <v>383</v>
      </c>
      <c r="B238" t="s">
        <v>267</v>
      </c>
      <c r="C238">
        <v>66</v>
      </c>
      <c r="D238" t="s">
        <v>12</v>
      </c>
      <c r="E238" t="s">
        <v>39</v>
      </c>
      <c r="F238" t="s">
        <v>19</v>
      </c>
      <c r="G238" s="1">
        <v>45897</v>
      </c>
      <c r="H238" s="1">
        <v>45901</v>
      </c>
      <c r="I238">
        <v>4</v>
      </c>
      <c r="J238">
        <v>21512</v>
      </c>
    </row>
    <row r="239" spans="1:10" x14ac:dyDescent="0.3">
      <c r="A239" t="s">
        <v>384</v>
      </c>
      <c r="B239" t="s">
        <v>96</v>
      </c>
      <c r="C239">
        <v>78</v>
      </c>
      <c r="D239" t="s">
        <v>12</v>
      </c>
      <c r="E239" t="s">
        <v>13</v>
      </c>
      <c r="F239" t="s">
        <v>19</v>
      </c>
      <c r="G239" s="1">
        <v>45777</v>
      </c>
      <c r="H239" s="1">
        <v>45781</v>
      </c>
      <c r="I239">
        <v>4</v>
      </c>
      <c r="J239">
        <v>27220</v>
      </c>
    </row>
    <row r="240" spans="1:10" x14ac:dyDescent="0.3">
      <c r="A240" t="s">
        <v>385</v>
      </c>
      <c r="B240" t="s">
        <v>196</v>
      </c>
      <c r="C240">
        <v>28</v>
      </c>
      <c r="D240" t="s">
        <v>12</v>
      </c>
      <c r="E240" t="s">
        <v>13</v>
      </c>
      <c r="F240" t="s">
        <v>34</v>
      </c>
      <c r="G240" s="1">
        <v>45696</v>
      </c>
      <c r="H240" s="1">
        <v>45702</v>
      </c>
      <c r="I240">
        <v>6</v>
      </c>
      <c r="J240">
        <v>31932</v>
      </c>
    </row>
    <row r="241" spans="1:10" x14ac:dyDescent="0.3">
      <c r="A241" t="s">
        <v>386</v>
      </c>
      <c r="B241" t="s">
        <v>104</v>
      </c>
      <c r="C241">
        <v>89</v>
      </c>
      <c r="D241" t="s">
        <v>17</v>
      </c>
      <c r="E241" t="s">
        <v>22</v>
      </c>
      <c r="F241" t="s">
        <v>19</v>
      </c>
      <c r="G241" s="1">
        <v>45767</v>
      </c>
      <c r="H241" s="1">
        <v>45780</v>
      </c>
      <c r="I241">
        <v>13</v>
      </c>
      <c r="J241">
        <v>137436</v>
      </c>
    </row>
    <row r="242" spans="1:10" x14ac:dyDescent="0.3">
      <c r="A242" t="s">
        <v>387</v>
      </c>
      <c r="B242" t="s">
        <v>47</v>
      </c>
      <c r="C242">
        <v>6</v>
      </c>
      <c r="D242" t="s">
        <v>12</v>
      </c>
      <c r="E242" t="s">
        <v>102</v>
      </c>
      <c r="F242" t="s">
        <v>59</v>
      </c>
      <c r="G242" s="1">
        <v>45825</v>
      </c>
      <c r="H242" s="1">
        <v>45840</v>
      </c>
      <c r="I242">
        <v>15</v>
      </c>
      <c r="J242">
        <v>165075</v>
      </c>
    </row>
    <row r="243" spans="1:10" x14ac:dyDescent="0.3">
      <c r="A243" t="s">
        <v>388</v>
      </c>
      <c r="B243" t="s">
        <v>377</v>
      </c>
      <c r="C243">
        <v>14</v>
      </c>
      <c r="D243" t="s">
        <v>17</v>
      </c>
      <c r="E243" t="s">
        <v>26</v>
      </c>
      <c r="F243" t="s">
        <v>42</v>
      </c>
      <c r="G243" s="1">
        <v>45948</v>
      </c>
      <c r="H243" s="1">
        <v>45951</v>
      </c>
      <c r="I243">
        <v>3</v>
      </c>
      <c r="J243">
        <v>34914</v>
      </c>
    </row>
    <row r="244" spans="1:10" x14ac:dyDescent="0.3">
      <c r="A244" t="s">
        <v>389</v>
      </c>
      <c r="B244" t="s">
        <v>390</v>
      </c>
      <c r="C244">
        <v>24</v>
      </c>
      <c r="D244" t="s">
        <v>12</v>
      </c>
      <c r="E244" t="s">
        <v>39</v>
      </c>
      <c r="F244" t="s">
        <v>27</v>
      </c>
      <c r="G244" s="1">
        <v>45840</v>
      </c>
      <c r="H244" s="1">
        <v>45850</v>
      </c>
      <c r="I244">
        <v>10</v>
      </c>
      <c r="J244">
        <v>101050</v>
      </c>
    </row>
    <row r="245" spans="1:10" x14ac:dyDescent="0.3">
      <c r="A245" t="s">
        <v>391</v>
      </c>
      <c r="B245" t="s">
        <v>390</v>
      </c>
      <c r="C245">
        <v>21</v>
      </c>
      <c r="D245" t="s">
        <v>12</v>
      </c>
      <c r="E245" t="s">
        <v>48</v>
      </c>
      <c r="F245" t="s">
        <v>19</v>
      </c>
      <c r="G245" s="1">
        <v>45729</v>
      </c>
      <c r="H245" s="1">
        <v>45740</v>
      </c>
      <c r="I245">
        <v>11</v>
      </c>
      <c r="J245">
        <v>107470</v>
      </c>
    </row>
    <row r="246" spans="1:10" x14ac:dyDescent="0.3">
      <c r="A246" t="s">
        <v>392</v>
      </c>
      <c r="B246" t="s">
        <v>241</v>
      </c>
      <c r="C246">
        <v>45</v>
      </c>
      <c r="D246" t="s">
        <v>12</v>
      </c>
      <c r="E246" t="s">
        <v>22</v>
      </c>
      <c r="F246" t="s">
        <v>23</v>
      </c>
      <c r="G246" s="1">
        <v>45680</v>
      </c>
      <c r="H246" s="1">
        <v>45686</v>
      </c>
      <c r="I246">
        <v>6</v>
      </c>
      <c r="J246">
        <v>69390</v>
      </c>
    </row>
    <row r="247" spans="1:10" x14ac:dyDescent="0.3">
      <c r="A247" t="s">
        <v>393</v>
      </c>
      <c r="B247" t="s">
        <v>394</v>
      </c>
      <c r="C247">
        <v>61</v>
      </c>
      <c r="D247" t="s">
        <v>17</v>
      </c>
      <c r="E247" t="s">
        <v>39</v>
      </c>
      <c r="F247" t="s">
        <v>62</v>
      </c>
      <c r="G247" s="1">
        <v>45816</v>
      </c>
      <c r="H247" s="1">
        <v>45822</v>
      </c>
      <c r="I247">
        <v>6</v>
      </c>
      <c r="J247">
        <v>59136</v>
      </c>
    </row>
    <row r="248" spans="1:10" x14ac:dyDescent="0.3">
      <c r="A248" t="s">
        <v>395</v>
      </c>
      <c r="B248" t="s">
        <v>390</v>
      </c>
      <c r="C248">
        <v>60</v>
      </c>
      <c r="D248" t="s">
        <v>17</v>
      </c>
      <c r="E248" t="s">
        <v>13</v>
      </c>
      <c r="F248" t="s">
        <v>19</v>
      </c>
      <c r="G248" s="1">
        <v>45729</v>
      </c>
      <c r="H248" s="1">
        <v>45742</v>
      </c>
      <c r="I248">
        <v>13</v>
      </c>
      <c r="J248">
        <v>109642</v>
      </c>
    </row>
    <row r="249" spans="1:10" x14ac:dyDescent="0.3">
      <c r="A249" t="s">
        <v>396</v>
      </c>
      <c r="B249" t="s">
        <v>397</v>
      </c>
      <c r="C249">
        <v>39</v>
      </c>
      <c r="D249" t="s">
        <v>17</v>
      </c>
      <c r="E249" t="s">
        <v>18</v>
      </c>
      <c r="F249" t="s">
        <v>42</v>
      </c>
      <c r="G249" s="1">
        <v>45886</v>
      </c>
      <c r="H249" s="1">
        <v>45898</v>
      </c>
      <c r="I249">
        <v>12</v>
      </c>
      <c r="J249">
        <v>132720</v>
      </c>
    </row>
    <row r="250" spans="1:10" x14ac:dyDescent="0.3">
      <c r="A250" t="s">
        <v>398</v>
      </c>
      <c r="B250" t="s">
        <v>241</v>
      </c>
      <c r="C250">
        <v>57</v>
      </c>
      <c r="D250" t="s">
        <v>12</v>
      </c>
      <c r="E250" t="s">
        <v>22</v>
      </c>
      <c r="F250" t="s">
        <v>19</v>
      </c>
      <c r="G250" s="1">
        <v>45761</v>
      </c>
      <c r="H250" s="1">
        <v>45771</v>
      </c>
      <c r="I250">
        <v>10</v>
      </c>
      <c r="J250">
        <v>97240</v>
      </c>
    </row>
    <row r="251" spans="1:10" x14ac:dyDescent="0.3">
      <c r="A251" t="s">
        <v>399</v>
      </c>
      <c r="B251" t="s">
        <v>288</v>
      </c>
      <c r="C251">
        <v>69</v>
      </c>
      <c r="D251" t="s">
        <v>12</v>
      </c>
      <c r="E251" t="s">
        <v>45</v>
      </c>
      <c r="F251" t="s">
        <v>27</v>
      </c>
      <c r="G251" s="1">
        <v>45834</v>
      </c>
      <c r="H251" s="1">
        <v>45837</v>
      </c>
      <c r="I251">
        <v>3</v>
      </c>
      <c r="J251">
        <v>27390</v>
      </c>
    </row>
    <row r="252" spans="1:10" x14ac:dyDescent="0.3">
      <c r="A252" t="s">
        <v>400</v>
      </c>
      <c r="B252" t="s">
        <v>178</v>
      </c>
      <c r="C252">
        <v>44</v>
      </c>
      <c r="D252" t="s">
        <v>12</v>
      </c>
      <c r="E252" t="s">
        <v>102</v>
      </c>
      <c r="F252" t="s">
        <v>23</v>
      </c>
      <c r="G252" s="1">
        <v>45901</v>
      </c>
      <c r="H252" s="1">
        <v>45906</v>
      </c>
      <c r="I252">
        <v>5</v>
      </c>
      <c r="J252">
        <v>52825</v>
      </c>
    </row>
    <row r="253" spans="1:10" x14ac:dyDescent="0.3">
      <c r="A253" t="s">
        <v>401</v>
      </c>
      <c r="B253" t="s">
        <v>158</v>
      </c>
      <c r="C253">
        <v>86</v>
      </c>
      <c r="D253" t="s">
        <v>17</v>
      </c>
      <c r="E253" t="s">
        <v>26</v>
      </c>
      <c r="F253" t="s">
        <v>14</v>
      </c>
      <c r="G253" s="1">
        <v>45871</v>
      </c>
      <c r="H253" s="1">
        <v>45885</v>
      </c>
      <c r="I253">
        <v>14</v>
      </c>
      <c r="J253">
        <v>57022</v>
      </c>
    </row>
    <row r="254" spans="1:10" x14ac:dyDescent="0.3">
      <c r="A254" t="s">
        <v>402</v>
      </c>
      <c r="B254" t="s">
        <v>47</v>
      </c>
      <c r="C254">
        <v>18</v>
      </c>
      <c r="D254" t="s">
        <v>17</v>
      </c>
      <c r="E254" t="s">
        <v>33</v>
      </c>
      <c r="F254" t="s">
        <v>27</v>
      </c>
      <c r="G254" s="1">
        <v>45919</v>
      </c>
      <c r="H254" s="1">
        <v>45924</v>
      </c>
      <c r="I254">
        <v>5</v>
      </c>
      <c r="J254">
        <v>38235</v>
      </c>
    </row>
    <row r="255" spans="1:10" x14ac:dyDescent="0.3">
      <c r="A255" t="s">
        <v>403</v>
      </c>
      <c r="B255" t="s">
        <v>220</v>
      </c>
      <c r="C255">
        <v>8</v>
      </c>
      <c r="D255" t="s">
        <v>17</v>
      </c>
      <c r="E255" t="s">
        <v>26</v>
      </c>
      <c r="F255" t="s">
        <v>19</v>
      </c>
      <c r="G255" s="1">
        <v>45868</v>
      </c>
      <c r="H255" s="1">
        <v>45877</v>
      </c>
      <c r="I255">
        <v>9</v>
      </c>
      <c r="J255">
        <v>81549</v>
      </c>
    </row>
    <row r="256" spans="1:10" x14ac:dyDescent="0.3">
      <c r="A256" t="s">
        <v>404</v>
      </c>
      <c r="B256" t="s">
        <v>238</v>
      </c>
      <c r="C256">
        <v>11</v>
      </c>
      <c r="D256" t="s">
        <v>17</v>
      </c>
      <c r="E256" t="s">
        <v>39</v>
      </c>
      <c r="F256" t="s">
        <v>59</v>
      </c>
      <c r="G256" s="1">
        <v>45794</v>
      </c>
      <c r="H256" s="1">
        <v>45808</v>
      </c>
      <c r="I256">
        <v>14</v>
      </c>
      <c r="J256">
        <v>161070</v>
      </c>
    </row>
    <row r="257" spans="1:10" x14ac:dyDescent="0.3">
      <c r="A257" t="s">
        <v>405</v>
      </c>
      <c r="B257" t="s">
        <v>109</v>
      </c>
      <c r="C257">
        <v>61</v>
      </c>
      <c r="D257" t="s">
        <v>17</v>
      </c>
      <c r="E257" t="s">
        <v>45</v>
      </c>
      <c r="F257" t="s">
        <v>34</v>
      </c>
      <c r="G257" s="1">
        <v>45995</v>
      </c>
      <c r="H257" s="1">
        <v>46001</v>
      </c>
      <c r="I257">
        <v>6</v>
      </c>
      <c r="J257">
        <v>62268</v>
      </c>
    </row>
    <row r="258" spans="1:10" x14ac:dyDescent="0.3">
      <c r="A258" t="s">
        <v>406</v>
      </c>
      <c r="B258" t="s">
        <v>185</v>
      </c>
      <c r="C258">
        <v>42</v>
      </c>
      <c r="D258" t="s">
        <v>17</v>
      </c>
      <c r="E258" t="s">
        <v>39</v>
      </c>
      <c r="F258" t="s">
        <v>34</v>
      </c>
      <c r="G258" s="1">
        <v>45728</v>
      </c>
      <c r="H258" s="1">
        <v>45731</v>
      </c>
      <c r="I258">
        <v>3</v>
      </c>
      <c r="J258">
        <v>35373</v>
      </c>
    </row>
    <row r="259" spans="1:10" x14ac:dyDescent="0.3">
      <c r="A259" t="s">
        <v>407</v>
      </c>
      <c r="B259" t="s">
        <v>343</v>
      </c>
      <c r="C259">
        <v>48</v>
      </c>
      <c r="D259" t="s">
        <v>17</v>
      </c>
      <c r="E259" t="s">
        <v>102</v>
      </c>
      <c r="F259" t="s">
        <v>27</v>
      </c>
      <c r="G259" s="1">
        <v>45699</v>
      </c>
      <c r="H259" s="1">
        <v>45712</v>
      </c>
      <c r="I259">
        <v>13</v>
      </c>
      <c r="J259">
        <v>151359</v>
      </c>
    </row>
    <row r="260" spans="1:10" x14ac:dyDescent="0.3">
      <c r="A260" t="s">
        <v>408</v>
      </c>
      <c r="B260" t="s">
        <v>409</v>
      </c>
      <c r="C260">
        <v>73</v>
      </c>
      <c r="D260" t="s">
        <v>17</v>
      </c>
      <c r="E260" t="s">
        <v>33</v>
      </c>
      <c r="F260" t="s">
        <v>34</v>
      </c>
      <c r="G260" s="1">
        <v>45988</v>
      </c>
      <c r="H260" s="1">
        <v>46002</v>
      </c>
      <c r="I260">
        <v>14</v>
      </c>
      <c r="J260">
        <v>66234</v>
      </c>
    </row>
    <row r="261" spans="1:10" x14ac:dyDescent="0.3">
      <c r="A261" t="s">
        <v>410</v>
      </c>
      <c r="B261" t="s">
        <v>411</v>
      </c>
      <c r="C261">
        <v>67</v>
      </c>
      <c r="D261" t="s">
        <v>12</v>
      </c>
      <c r="E261" t="s">
        <v>13</v>
      </c>
      <c r="F261" t="s">
        <v>42</v>
      </c>
      <c r="G261" s="1">
        <v>45765</v>
      </c>
      <c r="H261" s="1">
        <v>45766</v>
      </c>
      <c r="I261">
        <v>1</v>
      </c>
      <c r="J261">
        <v>10410</v>
      </c>
    </row>
    <row r="262" spans="1:10" x14ac:dyDescent="0.3">
      <c r="A262" t="s">
        <v>412</v>
      </c>
      <c r="B262" t="s">
        <v>148</v>
      </c>
      <c r="C262">
        <v>28</v>
      </c>
      <c r="D262" t="s">
        <v>17</v>
      </c>
      <c r="E262" t="s">
        <v>48</v>
      </c>
      <c r="F262" t="s">
        <v>23</v>
      </c>
      <c r="G262" s="1">
        <v>45685</v>
      </c>
      <c r="H262" s="1">
        <v>45686</v>
      </c>
      <c r="I262">
        <v>1</v>
      </c>
      <c r="J262">
        <v>7520</v>
      </c>
    </row>
    <row r="263" spans="1:10" x14ac:dyDescent="0.3">
      <c r="A263" t="s">
        <v>413</v>
      </c>
      <c r="B263" t="s">
        <v>38</v>
      </c>
      <c r="C263">
        <v>9</v>
      </c>
      <c r="D263" t="s">
        <v>17</v>
      </c>
      <c r="E263" t="s">
        <v>39</v>
      </c>
      <c r="F263" t="s">
        <v>62</v>
      </c>
      <c r="G263" s="1">
        <v>45900</v>
      </c>
      <c r="H263" s="1">
        <v>45914</v>
      </c>
      <c r="I263">
        <v>14</v>
      </c>
      <c r="J263">
        <v>149870</v>
      </c>
    </row>
    <row r="264" spans="1:10" x14ac:dyDescent="0.3">
      <c r="A264" t="s">
        <v>414</v>
      </c>
      <c r="B264" t="s">
        <v>247</v>
      </c>
      <c r="C264">
        <v>64</v>
      </c>
      <c r="D264" t="s">
        <v>17</v>
      </c>
      <c r="E264" t="s">
        <v>26</v>
      </c>
      <c r="F264" t="s">
        <v>62</v>
      </c>
      <c r="G264" s="1">
        <v>45829</v>
      </c>
      <c r="H264" s="1">
        <v>45835</v>
      </c>
      <c r="I264">
        <v>6</v>
      </c>
      <c r="J264">
        <v>29010</v>
      </c>
    </row>
    <row r="265" spans="1:10" x14ac:dyDescent="0.3">
      <c r="A265" t="s">
        <v>415</v>
      </c>
      <c r="B265" t="s">
        <v>203</v>
      </c>
      <c r="C265">
        <v>66</v>
      </c>
      <c r="D265" t="s">
        <v>17</v>
      </c>
      <c r="E265" t="s">
        <v>45</v>
      </c>
      <c r="F265" t="s">
        <v>59</v>
      </c>
      <c r="G265" s="1">
        <v>45743</v>
      </c>
      <c r="H265" s="1">
        <v>45746</v>
      </c>
      <c r="I265">
        <v>3</v>
      </c>
      <c r="J265">
        <v>34578</v>
      </c>
    </row>
    <row r="266" spans="1:10" x14ac:dyDescent="0.3">
      <c r="A266" t="s">
        <v>416</v>
      </c>
      <c r="B266" t="s">
        <v>125</v>
      </c>
      <c r="C266">
        <v>55</v>
      </c>
      <c r="D266" t="s">
        <v>17</v>
      </c>
      <c r="E266" t="s">
        <v>18</v>
      </c>
      <c r="F266" t="s">
        <v>62</v>
      </c>
      <c r="G266" s="1">
        <v>45992</v>
      </c>
      <c r="H266" s="1">
        <v>46004</v>
      </c>
      <c r="I266">
        <v>12</v>
      </c>
      <c r="J266">
        <v>91668</v>
      </c>
    </row>
    <row r="267" spans="1:10" x14ac:dyDescent="0.3">
      <c r="A267" t="s">
        <v>417</v>
      </c>
      <c r="B267" t="s">
        <v>325</v>
      </c>
      <c r="C267">
        <v>64</v>
      </c>
      <c r="D267" t="s">
        <v>12</v>
      </c>
      <c r="E267" t="s">
        <v>22</v>
      </c>
      <c r="F267" t="s">
        <v>62</v>
      </c>
      <c r="G267" s="1">
        <v>45904</v>
      </c>
      <c r="H267" s="1">
        <v>45917</v>
      </c>
      <c r="I267">
        <v>13</v>
      </c>
      <c r="J267">
        <v>153036</v>
      </c>
    </row>
    <row r="268" spans="1:10" x14ac:dyDescent="0.3">
      <c r="A268" t="s">
        <v>418</v>
      </c>
      <c r="B268" t="s">
        <v>419</v>
      </c>
      <c r="C268">
        <v>2</v>
      </c>
      <c r="D268" t="s">
        <v>17</v>
      </c>
      <c r="E268" t="s">
        <v>33</v>
      </c>
      <c r="F268" t="s">
        <v>23</v>
      </c>
      <c r="G268" s="1">
        <v>45751</v>
      </c>
      <c r="H268" s="1">
        <v>45760</v>
      </c>
      <c r="I268">
        <v>9</v>
      </c>
      <c r="J268">
        <v>86148</v>
      </c>
    </row>
    <row r="269" spans="1:10" x14ac:dyDescent="0.3">
      <c r="A269" t="s">
        <v>420</v>
      </c>
      <c r="B269" t="s">
        <v>70</v>
      </c>
      <c r="C269">
        <v>18</v>
      </c>
      <c r="D269" t="s">
        <v>17</v>
      </c>
      <c r="E269" t="s">
        <v>45</v>
      </c>
      <c r="F269" t="s">
        <v>14</v>
      </c>
      <c r="G269" s="1">
        <v>45751</v>
      </c>
      <c r="H269" s="1">
        <v>45752</v>
      </c>
      <c r="I269">
        <v>1</v>
      </c>
      <c r="J269">
        <v>5434</v>
      </c>
    </row>
    <row r="270" spans="1:10" x14ac:dyDescent="0.3">
      <c r="A270" t="s">
        <v>421</v>
      </c>
      <c r="B270" t="s">
        <v>74</v>
      </c>
      <c r="C270">
        <v>84</v>
      </c>
      <c r="D270" t="s">
        <v>17</v>
      </c>
      <c r="E270" t="s">
        <v>30</v>
      </c>
      <c r="F270" t="s">
        <v>23</v>
      </c>
      <c r="G270" s="1">
        <v>45749</v>
      </c>
      <c r="H270" s="1">
        <v>45757</v>
      </c>
      <c r="I270">
        <v>8</v>
      </c>
      <c r="J270">
        <v>74816</v>
      </c>
    </row>
    <row r="271" spans="1:10" x14ac:dyDescent="0.3">
      <c r="A271" t="s">
        <v>422</v>
      </c>
      <c r="B271" t="s">
        <v>178</v>
      </c>
      <c r="C271">
        <v>21</v>
      </c>
      <c r="D271" t="s">
        <v>12</v>
      </c>
      <c r="E271" t="s">
        <v>33</v>
      </c>
      <c r="F271" t="s">
        <v>27</v>
      </c>
      <c r="G271" s="1">
        <v>45999</v>
      </c>
      <c r="H271" s="1">
        <v>46009</v>
      </c>
      <c r="I271">
        <v>10</v>
      </c>
      <c r="J271">
        <v>111150</v>
      </c>
    </row>
    <row r="272" spans="1:10" x14ac:dyDescent="0.3">
      <c r="A272" t="s">
        <v>423</v>
      </c>
      <c r="B272" t="s">
        <v>91</v>
      </c>
      <c r="C272">
        <v>21</v>
      </c>
      <c r="D272" t="s">
        <v>17</v>
      </c>
      <c r="E272" t="s">
        <v>33</v>
      </c>
      <c r="F272" t="s">
        <v>59</v>
      </c>
      <c r="G272" s="1">
        <v>45866</v>
      </c>
      <c r="H272" s="1">
        <v>45869</v>
      </c>
      <c r="I272">
        <v>3</v>
      </c>
      <c r="J272">
        <v>21246</v>
      </c>
    </row>
    <row r="273" spans="1:10" x14ac:dyDescent="0.3">
      <c r="A273" t="s">
        <v>424</v>
      </c>
      <c r="B273" t="s">
        <v>38</v>
      </c>
      <c r="C273">
        <v>37</v>
      </c>
      <c r="D273" t="s">
        <v>17</v>
      </c>
      <c r="E273" t="s">
        <v>48</v>
      </c>
      <c r="F273" t="s">
        <v>59</v>
      </c>
      <c r="G273" s="1">
        <v>45945</v>
      </c>
      <c r="H273" s="1">
        <v>45953</v>
      </c>
      <c r="I273">
        <v>8</v>
      </c>
      <c r="J273">
        <v>61864</v>
      </c>
    </row>
    <row r="274" spans="1:10" x14ac:dyDescent="0.3">
      <c r="A274" t="s">
        <v>425</v>
      </c>
      <c r="B274" t="s">
        <v>426</v>
      </c>
      <c r="C274">
        <v>85</v>
      </c>
      <c r="D274" t="s">
        <v>17</v>
      </c>
      <c r="E274" t="s">
        <v>48</v>
      </c>
      <c r="F274" t="s">
        <v>42</v>
      </c>
      <c r="G274" s="1">
        <v>45880</v>
      </c>
      <c r="H274" s="1">
        <v>45893</v>
      </c>
      <c r="I274">
        <v>13</v>
      </c>
      <c r="J274">
        <v>78416</v>
      </c>
    </row>
    <row r="275" spans="1:10" x14ac:dyDescent="0.3">
      <c r="A275" t="s">
        <v>427</v>
      </c>
      <c r="B275" t="s">
        <v>428</v>
      </c>
      <c r="C275">
        <v>75</v>
      </c>
      <c r="D275" t="s">
        <v>12</v>
      </c>
      <c r="E275" t="s">
        <v>102</v>
      </c>
      <c r="F275" t="s">
        <v>42</v>
      </c>
      <c r="G275" s="1">
        <v>45742</v>
      </c>
      <c r="H275" s="1">
        <v>45746</v>
      </c>
      <c r="I275">
        <v>4</v>
      </c>
      <c r="J275">
        <v>22480</v>
      </c>
    </row>
    <row r="276" spans="1:10" x14ac:dyDescent="0.3">
      <c r="A276" t="s">
        <v>429</v>
      </c>
      <c r="B276" t="s">
        <v>160</v>
      </c>
      <c r="C276">
        <v>90</v>
      </c>
      <c r="D276" t="s">
        <v>12</v>
      </c>
      <c r="E276" t="s">
        <v>39</v>
      </c>
      <c r="F276" t="s">
        <v>34</v>
      </c>
      <c r="G276" s="1">
        <v>45925</v>
      </c>
      <c r="H276" s="1">
        <v>45927</v>
      </c>
      <c r="I276">
        <v>2</v>
      </c>
      <c r="J276">
        <v>22164</v>
      </c>
    </row>
    <row r="277" spans="1:10" x14ac:dyDescent="0.3">
      <c r="A277" t="s">
        <v>430</v>
      </c>
      <c r="B277" t="s">
        <v>431</v>
      </c>
      <c r="C277">
        <v>43</v>
      </c>
      <c r="D277" t="s">
        <v>17</v>
      </c>
      <c r="E277" t="s">
        <v>33</v>
      </c>
      <c r="F277" t="s">
        <v>14</v>
      </c>
      <c r="G277" s="1">
        <v>45684</v>
      </c>
      <c r="H277" s="1">
        <v>45686</v>
      </c>
      <c r="I277">
        <v>2</v>
      </c>
      <c r="J277">
        <v>16568</v>
      </c>
    </row>
    <row r="278" spans="1:10" x14ac:dyDescent="0.3">
      <c r="A278" t="s">
        <v>432</v>
      </c>
      <c r="B278" t="s">
        <v>98</v>
      </c>
      <c r="C278">
        <v>19</v>
      </c>
      <c r="D278" t="s">
        <v>17</v>
      </c>
      <c r="E278" t="s">
        <v>33</v>
      </c>
      <c r="F278" t="s">
        <v>19</v>
      </c>
      <c r="G278" s="1">
        <v>45723</v>
      </c>
      <c r="H278" s="1">
        <v>45734</v>
      </c>
      <c r="I278">
        <v>11</v>
      </c>
      <c r="J278">
        <v>100496</v>
      </c>
    </row>
    <row r="279" spans="1:10" x14ac:dyDescent="0.3">
      <c r="A279" t="s">
        <v>433</v>
      </c>
      <c r="B279" t="s">
        <v>112</v>
      </c>
      <c r="C279">
        <v>24</v>
      </c>
      <c r="D279" t="s">
        <v>17</v>
      </c>
      <c r="E279" t="s">
        <v>13</v>
      </c>
      <c r="F279" t="s">
        <v>59</v>
      </c>
      <c r="G279" s="1">
        <v>45884</v>
      </c>
      <c r="H279" s="1">
        <v>45894</v>
      </c>
      <c r="I279">
        <v>10</v>
      </c>
      <c r="J279">
        <v>63880</v>
      </c>
    </row>
    <row r="280" spans="1:10" x14ac:dyDescent="0.3">
      <c r="A280" t="s">
        <v>434</v>
      </c>
      <c r="B280" t="s">
        <v>435</v>
      </c>
      <c r="C280">
        <v>20</v>
      </c>
      <c r="D280" t="s">
        <v>17</v>
      </c>
      <c r="E280" t="s">
        <v>13</v>
      </c>
      <c r="F280" t="s">
        <v>42</v>
      </c>
      <c r="G280" s="1">
        <v>45941</v>
      </c>
      <c r="H280" s="1">
        <v>45956</v>
      </c>
      <c r="I280">
        <v>15</v>
      </c>
      <c r="J280">
        <v>68910</v>
      </c>
    </row>
    <row r="281" spans="1:10" x14ac:dyDescent="0.3">
      <c r="A281" t="s">
        <v>436</v>
      </c>
      <c r="B281" t="s">
        <v>312</v>
      </c>
      <c r="C281">
        <v>82</v>
      </c>
      <c r="D281" t="s">
        <v>17</v>
      </c>
      <c r="E281" t="s">
        <v>39</v>
      </c>
      <c r="F281" t="s">
        <v>42</v>
      </c>
      <c r="G281" s="1">
        <v>45948</v>
      </c>
      <c r="H281" s="1">
        <v>45951</v>
      </c>
      <c r="I281">
        <v>3</v>
      </c>
      <c r="J281">
        <v>28596</v>
      </c>
    </row>
    <row r="282" spans="1:10" x14ac:dyDescent="0.3">
      <c r="A282" t="s">
        <v>437</v>
      </c>
      <c r="B282" t="s">
        <v>390</v>
      </c>
      <c r="C282">
        <v>82</v>
      </c>
      <c r="D282" t="s">
        <v>17</v>
      </c>
      <c r="E282" t="s">
        <v>39</v>
      </c>
      <c r="F282" t="s">
        <v>34</v>
      </c>
      <c r="G282" s="1">
        <v>45949</v>
      </c>
      <c r="H282" s="1">
        <v>45953</v>
      </c>
      <c r="I282">
        <v>4</v>
      </c>
      <c r="J282">
        <v>19764</v>
      </c>
    </row>
    <row r="283" spans="1:10" x14ac:dyDescent="0.3">
      <c r="A283" t="s">
        <v>438</v>
      </c>
      <c r="B283" t="s">
        <v>47</v>
      </c>
      <c r="C283">
        <v>17</v>
      </c>
      <c r="D283" t="s">
        <v>12</v>
      </c>
      <c r="E283" t="s">
        <v>13</v>
      </c>
      <c r="F283" t="s">
        <v>14</v>
      </c>
      <c r="G283" s="1">
        <v>45922</v>
      </c>
      <c r="H283" s="1">
        <v>45924</v>
      </c>
      <c r="I283">
        <v>2</v>
      </c>
      <c r="J283">
        <v>11686</v>
      </c>
    </row>
    <row r="284" spans="1:10" x14ac:dyDescent="0.3">
      <c r="A284" t="s">
        <v>439</v>
      </c>
      <c r="B284" t="s">
        <v>209</v>
      </c>
      <c r="C284">
        <v>88</v>
      </c>
      <c r="D284" t="s">
        <v>17</v>
      </c>
      <c r="E284" t="s">
        <v>18</v>
      </c>
      <c r="F284" t="s">
        <v>19</v>
      </c>
      <c r="G284" s="1">
        <v>45819</v>
      </c>
      <c r="H284" s="1">
        <v>45826</v>
      </c>
      <c r="I284">
        <v>7</v>
      </c>
      <c r="J284">
        <v>60060</v>
      </c>
    </row>
    <row r="285" spans="1:10" x14ac:dyDescent="0.3">
      <c r="A285" t="s">
        <v>440</v>
      </c>
      <c r="B285" t="s">
        <v>93</v>
      </c>
      <c r="C285">
        <v>7</v>
      </c>
      <c r="D285" t="s">
        <v>12</v>
      </c>
      <c r="E285" t="s">
        <v>13</v>
      </c>
      <c r="F285" t="s">
        <v>19</v>
      </c>
      <c r="G285" s="1">
        <v>45957</v>
      </c>
      <c r="H285" s="1">
        <v>45964</v>
      </c>
      <c r="I285">
        <v>7</v>
      </c>
      <c r="J285">
        <v>43463</v>
      </c>
    </row>
    <row r="286" spans="1:10" x14ac:dyDescent="0.3">
      <c r="A286" t="s">
        <v>441</v>
      </c>
      <c r="B286" t="s">
        <v>89</v>
      </c>
      <c r="C286">
        <v>63</v>
      </c>
      <c r="D286" t="s">
        <v>12</v>
      </c>
      <c r="E286" t="s">
        <v>45</v>
      </c>
      <c r="F286" t="s">
        <v>34</v>
      </c>
      <c r="G286" s="1">
        <v>45772</v>
      </c>
      <c r="H286" s="1">
        <v>45774</v>
      </c>
      <c r="I286">
        <v>2</v>
      </c>
      <c r="J286">
        <v>13926</v>
      </c>
    </row>
    <row r="287" spans="1:10" x14ac:dyDescent="0.3">
      <c r="A287" t="s">
        <v>442</v>
      </c>
      <c r="B287" t="s">
        <v>98</v>
      </c>
      <c r="C287">
        <v>25</v>
      </c>
      <c r="D287" t="s">
        <v>17</v>
      </c>
      <c r="E287" t="s">
        <v>102</v>
      </c>
      <c r="F287" t="s">
        <v>19</v>
      </c>
      <c r="G287" s="1">
        <v>45793</v>
      </c>
      <c r="H287" s="1">
        <v>45795</v>
      </c>
      <c r="I287">
        <v>2</v>
      </c>
      <c r="J287">
        <v>18698</v>
      </c>
    </row>
    <row r="288" spans="1:10" x14ac:dyDescent="0.3">
      <c r="A288" t="s">
        <v>443</v>
      </c>
      <c r="B288" t="s">
        <v>144</v>
      </c>
      <c r="C288">
        <v>26</v>
      </c>
      <c r="D288" t="s">
        <v>17</v>
      </c>
      <c r="E288" t="s">
        <v>22</v>
      </c>
      <c r="F288" t="s">
        <v>59</v>
      </c>
      <c r="G288" s="1">
        <v>45690</v>
      </c>
      <c r="H288" s="1">
        <v>45695</v>
      </c>
      <c r="I288">
        <v>5</v>
      </c>
      <c r="J288">
        <v>41265</v>
      </c>
    </row>
    <row r="289" spans="1:10" x14ac:dyDescent="0.3">
      <c r="A289" t="s">
        <v>444</v>
      </c>
      <c r="B289" t="s">
        <v>445</v>
      </c>
      <c r="C289">
        <v>36</v>
      </c>
      <c r="D289" t="s">
        <v>17</v>
      </c>
      <c r="E289" t="s">
        <v>22</v>
      </c>
      <c r="F289" t="s">
        <v>27</v>
      </c>
      <c r="G289" s="1">
        <v>46005</v>
      </c>
      <c r="H289" s="1">
        <v>46007</v>
      </c>
      <c r="I289">
        <v>2</v>
      </c>
      <c r="J289">
        <v>21408</v>
      </c>
    </row>
    <row r="290" spans="1:10" x14ac:dyDescent="0.3">
      <c r="A290" t="s">
        <v>446</v>
      </c>
      <c r="B290" t="s">
        <v>151</v>
      </c>
      <c r="C290">
        <v>43</v>
      </c>
      <c r="D290" t="s">
        <v>17</v>
      </c>
      <c r="E290" t="s">
        <v>48</v>
      </c>
      <c r="F290" t="s">
        <v>14</v>
      </c>
      <c r="G290" s="1">
        <v>45979</v>
      </c>
      <c r="H290" s="1">
        <v>45994</v>
      </c>
      <c r="I290">
        <v>15</v>
      </c>
      <c r="J290">
        <v>131895</v>
      </c>
    </row>
    <row r="291" spans="1:10" x14ac:dyDescent="0.3">
      <c r="A291" t="s">
        <v>447</v>
      </c>
      <c r="B291" t="s">
        <v>91</v>
      </c>
      <c r="C291">
        <v>50</v>
      </c>
      <c r="D291" t="s">
        <v>17</v>
      </c>
      <c r="E291" t="s">
        <v>48</v>
      </c>
      <c r="F291" t="s">
        <v>59</v>
      </c>
      <c r="G291" s="1">
        <v>45718</v>
      </c>
      <c r="H291" s="1">
        <v>45725</v>
      </c>
      <c r="I291">
        <v>7</v>
      </c>
      <c r="J291">
        <v>52934</v>
      </c>
    </row>
    <row r="292" spans="1:10" x14ac:dyDescent="0.3">
      <c r="A292" t="s">
        <v>448</v>
      </c>
      <c r="B292" t="s">
        <v>264</v>
      </c>
      <c r="C292">
        <v>32</v>
      </c>
      <c r="D292" t="s">
        <v>12</v>
      </c>
      <c r="E292" t="s">
        <v>102</v>
      </c>
      <c r="F292" t="s">
        <v>59</v>
      </c>
      <c r="G292" s="1">
        <v>45903</v>
      </c>
      <c r="H292" s="1">
        <v>45908</v>
      </c>
      <c r="I292">
        <v>5</v>
      </c>
      <c r="J292">
        <v>43190</v>
      </c>
    </row>
    <row r="293" spans="1:10" x14ac:dyDescent="0.3">
      <c r="A293" t="s">
        <v>449</v>
      </c>
      <c r="B293" t="s">
        <v>294</v>
      </c>
      <c r="C293">
        <v>14</v>
      </c>
      <c r="D293" t="s">
        <v>17</v>
      </c>
      <c r="E293" t="s">
        <v>30</v>
      </c>
      <c r="F293" t="s">
        <v>14</v>
      </c>
      <c r="G293" s="1">
        <v>45724</v>
      </c>
      <c r="H293" s="1">
        <v>45735</v>
      </c>
      <c r="I293">
        <v>11</v>
      </c>
      <c r="J293">
        <v>126005</v>
      </c>
    </row>
    <row r="294" spans="1:10" x14ac:dyDescent="0.3">
      <c r="A294" t="s">
        <v>450</v>
      </c>
      <c r="B294" t="s">
        <v>130</v>
      </c>
      <c r="C294">
        <v>81</v>
      </c>
      <c r="D294" t="s">
        <v>17</v>
      </c>
      <c r="E294" t="s">
        <v>13</v>
      </c>
      <c r="F294" t="s">
        <v>34</v>
      </c>
      <c r="G294" s="1">
        <v>46008</v>
      </c>
      <c r="H294" s="1">
        <v>46020</v>
      </c>
      <c r="I294">
        <v>12</v>
      </c>
      <c r="J294">
        <v>61908</v>
      </c>
    </row>
    <row r="295" spans="1:10" x14ac:dyDescent="0.3">
      <c r="A295" t="s">
        <v>451</v>
      </c>
      <c r="B295" t="s">
        <v>50</v>
      </c>
      <c r="C295">
        <v>29</v>
      </c>
      <c r="D295" t="s">
        <v>17</v>
      </c>
      <c r="E295" t="s">
        <v>22</v>
      </c>
      <c r="F295" t="s">
        <v>27</v>
      </c>
      <c r="G295" s="1">
        <v>45703</v>
      </c>
      <c r="H295" s="1">
        <v>45716</v>
      </c>
      <c r="I295">
        <v>13</v>
      </c>
      <c r="J295">
        <v>113867</v>
      </c>
    </row>
    <row r="296" spans="1:10" x14ac:dyDescent="0.3">
      <c r="A296" t="s">
        <v>452</v>
      </c>
      <c r="B296" t="s">
        <v>241</v>
      </c>
      <c r="C296">
        <v>53</v>
      </c>
      <c r="D296" t="s">
        <v>17</v>
      </c>
      <c r="E296" t="s">
        <v>30</v>
      </c>
      <c r="F296" t="s">
        <v>42</v>
      </c>
      <c r="G296" s="1">
        <v>45868</v>
      </c>
      <c r="H296" s="1">
        <v>45879</v>
      </c>
      <c r="I296">
        <v>11</v>
      </c>
      <c r="J296">
        <v>45375</v>
      </c>
    </row>
    <row r="297" spans="1:10" x14ac:dyDescent="0.3">
      <c r="A297" t="s">
        <v>453</v>
      </c>
      <c r="B297" t="s">
        <v>84</v>
      </c>
      <c r="C297">
        <v>50</v>
      </c>
      <c r="D297" t="s">
        <v>17</v>
      </c>
      <c r="E297" t="s">
        <v>39</v>
      </c>
      <c r="F297" t="s">
        <v>19</v>
      </c>
      <c r="G297" s="1">
        <v>45784</v>
      </c>
      <c r="H297" s="1">
        <v>45798</v>
      </c>
      <c r="I297">
        <v>14</v>
      </c>
      <c r="J297">
        <v>84420</v>
      </c>
    </row>
    <row r="298" spans="1:10" x14ac:dyDescent="0.3">
      <c r="A298" t="s">
        <v>454</v>
      </c>
      <c r="B298" t="s">
        <v>455</v>
      </c>
      <c r="C298">
        <v>80</v>
      </c>
      <c r="D298" t="s">
        <v>17</v>
      </c>
      <c r="E298" t="s">
        <v>26</v>
      </c>
      <c r="F298" t="s">
        <v>62</v>
      </c>
      <c r="G298" s="1">
        <v>45875</v>
      </c>
      <c r="H298" s="1">
        <v>45880</v>
      </c>
      <c r="I298">
        <v>5</v>
      </c>
      <c r="J298">
        <v>53770</v>
      </c>
    </row>
    <row r="299" spans="1:10" x14ac:dyDescent="0.3">
      <c r="A299" t="s">
        <v>456</v>
      </c>
      <c r="B299" t="s">
        <v>171</v>
      </c>
      <c r="C299">
        <v>54</v>
      </c>
      <c r="D299" t="s">
        <v>17</v>
      </c>
      <c r="E299" t="s">
        <v>26</v>
      </c>
      <c r="F299" t="s">
        <v>59</v>
      </c>
      <c r="G299" s="1">
        <v>45816</v>
      </c>
      <c r="H299" s="1">
        <v>45822</v>
      </c>
      <c r="I299">
        <v>6</v>
      </c>
      <c r="J299">
        <v>48774</v>
      </c>
    </row>
    <row r="300" spans="1:10" x14ac:dyDescent="0.3">
      <c r="A300" t="s">
        <v>457</v>
      </c>
      <c r="B300" t="s">
        <v>390</v>
      </c>
      <c r="C300">
        <v>76</v>
      </c>
      <c r="D300" t="s">
        <v>12</v>
      </c>
      <c r="E300" t="s">
        <v>48</v>
      </c>
      <c r="F300" t="s">
        <v>14</v>
      </c>
      <c r="G300" s="1">
        <v>45967</v>
      </c>
      <c r="H300" s="1">
        <v>45968</v>
      </c>
      <c r="I300">
        <v>1</v>
      </c>
      <c r="J300">
        <v>11309</v>
      </c>
    </row>
    <row r="301" spans="1:10" x14ac:dyDescent="0.3">
      <c r="A301" t="s">
        <v>458</v>
      </c>
      <c r="B301" t="s">
        <v>36</v>
      </c>
      <c r="C301">
        <v>37</v>
      </c>
      <c r="D301" t="s">
        <v>17</v>
      </c>
      <c r="E301" t="s">
        <v>48</v>
      </c>
      <c r="F301" t="s">
        <v>59</v>
      </c>
      <c r="G301" s="1">
        <v>45914</v>
      </c>
      <c r="H301" s="1">
        <v>45923</v>
      </c>
      <c r="I301">
        <v>9</v>
      </c>
      <c r="J301">
        <v>93888</v>
      </c>
    </row>
    <row r="302" spans="1:10" x14ac:dyDescent="0.3">
      <c r="A302" t="s">
        <v>459</v>
      </c>
      <c r="B302" t="s">
        <v>127</v>
      </c>
      <c r="C302">
        <v>50</v>
      </c>
      <c r="D302" t="s">
        <v>12</v>
      </c>
      <c r="E302" t="s">
        <v>18</v>
      </c>
      <c r="F302" t="s">
        <v>19</v>
      </c>
      <c r="G302" s="1">
        <v>45749</v>
      </c>
      <c r="H302" s="1">
        <v>45754</v>
      </c>
      <c r="I302">
        <v>5</v>
      </c>
      <c r="J302">
        <v>26255</v>
      </c>
    </row>
    <row r="303" spans="1:10" x14ac:dyDescent="0.3">
      <c r="A303" t="s">
        <v>460</v>
      </c>
      <c r="B303" t="s">
        <v>461</v>
      </c>
      <c r="C303">
        <v>62</v>
      </c>
      <c r="D303" t="s">
        <v>12</v>
      </c>
      <c r="E303" t="s">
        <v>45</v>
      </c>
      <c r="F303" t="s">
        <v>62</v>
      </c>
      <c r="G303" s="1">
        <v>45778</v>
      </c>
      <c r="H303" s="1">
        <v>45788</v>
      </c>
      <c r="I303">
        <v>10</v>
      </c>
      <c r="J303">
        <v>75890</v>
      </c>
    </row>
    <row r="304" spans="1:10" x14ac:dyDescent="0.3">
      <c r="A304" t="s">
        <v>462</v>
      </c>
      <c r="B304" t="s">
        <v>171</v>
      </c>
      <c r="C304">
        <v>42</v>
      </c>
      <c r="D304" t="s">
        <v>17</v>
      </c>
      <c r="E304" t="s">
        <v>45</v>
      </c>
      <c r="F304" t="s">
        <v>59</v>
      </c>
      <c r="G304" s="1">
        <v>45915</v>
      </c>
      <c r="H304" s="1">
        <v>45928</v>
      </c>
      <c r="I304">
        <v>13</v>
      </c>
      <c r="J304">
        <v>75790</v>
      </c>
    </row>
    <row r="305" spans="1:10" x14ac:dyDescent="0.3">
      <c r="A305" t="s">
        <v>463</v>
      </c>
      <c r="B305" t="s">
        <v>464</v>
      </c>
      <c r="C305">
        <v>81</v>
      </c>
      <c r="D305" t="s">
        <v>17</v>
      </c>
      <c r="E305" t="s">
        <v>33</v>
      </c>
      <c r="F305" t="s">
        <v>62</v>
      </c>
      <c r="G305" s="1">
        <v>45912</v>
      </c>
      <c r="H305" s="1">
        <v>45920</v>
      </c>
      <c r="I305">
        <v>8</v>
      </c>
      <c r="J305">
        <v>86704</v>
      </c>
    </row>
    <row r="306" spans="1:10" x14ac:dyDescent="0.3">
      <c r="A306" t="s">
        <v>465</v>
      </c>
      <c r="B306" t="s">
        <v>144</v>
      </c>
      <c r="C306">
        <v>67</v>
      </c>
      <c r="D306" t="s">
        <v>17</v>
      </c>
      <c r="E306" t="s">
        <v>33</v>
      </c>
      <c r="F306" t="s">
        <v>14</v>
      </c>
      <c r="G306" s="1">
        <v>45661</v>
      </c>
      <c r="H306" s="1">
        <v>45671</v>
      </c>
      <c r="I306">
        <v>10</v>
      </c>
      <c r="J306">
        <v>81200</v>
      </c>
    </row>
    <row r="307" spans="1:10" x14ac:dyDescent="0.3">
      <c r="A307" t="s">
        <v>466</v>
      </c>
      <c r="B307" t="s">
        <v>467</v>
      </c>
      <c r="C307">
        <v>71</v>
      </c>
      <c r="D307" t="s">
        <v>12</v>
      </c>
      <c r="E307" t="s">
        <v>26</v>
      </c>
      <c r="F307" t="s">
        <v>27</v>
      </c>
      <c r="G307" s="1">
        <v>45957</v>
      </c>
      <c r="H307" s="1">
        <v>45969</v>
      </c>
      <c r="I307">
        <v>12</v>
      </c>
      <c r="J307">
        <v>74208</v>
      </c>
    </row>
    <row r="308" spans="1:10" x14ac:dyDescent="0.3">
      <c r="A308" t="s">
        <v>468</v>
      </c>
      <c r="B308" t="s">
        <v>82</v>
      </c>
      <c r="C308">
        <v>83</v>
      </c>
      <c r="D308" t="s">
        <v>12</v>
      </c>
      <c r="E308" t="s">
        <v>22</v>
      </c>
      <c r="F308" t="s">
        <v>34</v>
      </c>
      <c r="G308" s="1">
        <v>45774</v>
      </c>
      <c r="H308" s="1">
        <v>45786</v>
      </c>
      <c r="I308">
        <v>12</v>
      </c>
      <c r="J308">
        <v>48912</v>
      </c>
    </row>
    <row r="309" spans="1:10" x14ac:dyDescent="0.3">
      <c r="A309" t="s">
        <v>469</v>
      </c>
      <c r="B309" t="s">
        <v>259</v>
      </c>
      <c r="C309">
        <v>65</v>
      </c>
      <c r="D309" t="s">
        <v>12</v>
      </c>
      <c r="E309" t="s">
        <v>39</v>
      </c>
      <c r="F309" t="s">
        <v>19</v>
      </c>
      <c r="G309" s="1">
        <v>45905</v>
      </c>
      <c r="H309" s="1">
        <v>45907</v>
      </c>
      <c r="I309">
        <v>2</v>
      </c>
      <c r="J309">
        <v>13186</v>
      </c>
    </row>
    <row r="310" spans="1:10" x14ac:dyDescent="0.3">
      <c r="A310" t="s">
        <v>470</v>
      </c>
      <c r="B310" t="s">
        <v>471</v>
      </c>
      <c r="C310">
        <v>71</v>
      </c>
      <c r="D310" t="s">
        <v>12</v>
      </c>
      <c r="E310" t="s">
        <v>13</v>
      </c>
      <c r="F310" t="s">
        <v>23</v>
      </c>
      <c r="G310" s="1">
        <v>45991</v>
      </c>
      <c r="H310" s="1">
        <v>46004</v>
      </c>
      <c r="I310">
        <v>13</v>
      </c>
      <c r="J310">
        <v>61451</v>
      </c>
    </row>
    <row r="311" spans="1:10" x14ac:dyDescent="0.3">
      <c r="A311" t="s">
        <v>472</v>
      </c>
      <c r="B311" t="s">
        <v>29</v>
      </c>
      <c r="C311">
        <v>81</v>
      </c>
      <c r="D311" t="s">
        <v>12</v>
      </c>
      <c r="E311" t="s">
        <v>26</v>
      </c>
      <c r="F311" t="s">
        <v>42</v>
      </c>
      <c r="G311" s="1">
        <v>45731</v>
      </c>
      <c r="H311" s="1">
        <v>45737</v>
      </c>
      <c r="I311">
        <v>6</v>
      </c>
      <c r="J311">
        <v>69762</v>
      </c>
    </row>
    <row r="312" spans="1:10" x14ac:dyDescent="0.3">
      <c r="A312" t="s">
        <v>473</v>
      </c>
      <c r="B312" t="s">
        <v>377</v>
      </c>
      <c r="C312">
        <v>39</v>
      </c>
      <c r="D312" t="s">
        <v>17</v>
      </c>
      <c r="E312" t="s">
        <v>48</v>
      </c>
      <c r="F312" t="s">
        <v>19</v>
      </c>
      <c r="G312" s="1">
        <v>45738</v>
      </c>
      <c r="H312" s="1">
        <v>45749</v>
      </c>
      <c r="I312">
        <v>11</v>
      </c>
      <c r="J312">
        <v>71610</v>
      </c>
    </row>
    <row r="313" spans="1:10" x14ac:dyDescent="0.3">
      <c r="A313" t="s">
        <v>474</v>
      </c>
      <c r="B313" t="s">
        <v>475</v>
      </c>
      <c r="C313">
        <v>14</v>
      </c>
      <c r="D313" t="s">
        <v>12</v>
      </c>
      <c r="E313" t="s">
        <v>102</v>
      </c>
      <c r="F313" t="s">
        <v>42</v>
      </c>
      <c r="G313" s="1">
        <v>45853</v>
      </c>
      <c r="H313" s="1">
        <v>45862</v>
      </c>
      <c r="I313">
        <v>9</v>
      </c>
      <c r="J313">
        <v>49392</v>
      </c>
    </row>
    <row r="314" spans="1:10" x14ac:dyDescent="0.3">
      <c r="A314" t="s">
        <v>476</v>
      </c>
      <c r="B314" t="s">
        <v>191</v>
      </c>
      <c r="C314">
        <v>40</v>
      </c>
      <c r="D314" t="s">
        <v>12</v>
      </c>
      <c r="E314" t="s">
        <v>33</v>
      </c>
      <c r="F314" t="s">
        <v>19</v>
      </c>
      <c r="G314" s="1">
        <v>45840</v>
      </c>
      <c r="H314" s="1">
        <v>45843</v>
      </c>
      <c r="I314">
        <v>3</v>
      </c>
      <c r="J314">
        <v>18513</v>
      </c>
    </row>
    <row r="315" spans="1:10" x14ac:dyDescent="0.3">
      <c r="A315" t="s">
        <v>477</v>
      </c>
      <c r="B315" t="s">
        <v>209</v>
      </c>
      <c r="C315">
        <v>11</v>
      </c>
      <c r="D315" t="s">
        <v>12</v>
      </c>
      <c r="E315" t="s">
        <v>45</v>
      </c>
      <c r="F315" t="s">
        <v>14</v>
      </c>
      <c r="G315" s="1">
        <v>45743</v>
      </c>
      <c r="H315" s="1">
        <v>45757</v>
      </c>
      <c r="I315">
        <v>14</v>
      </c>
      <c r="J315">
        <v>108262</v>
      </c>
    </row>
    <row r="316" spans="1:10" x14ac:dyDescent="0.3">
      <c r="A316" t="s">
        <v>478</v>
      </c>
      <c r="B316" t="s">
        <v>104</v>
      </c>
      <c r="C316">
        <v>21</v>
      </c>
      <c r="D316" t="s">
        <v>12</v>
      </c>
      <c r="E316" t="s">
        <v>30</v>
      </c>
      <c r="F316" t="s">
        <v>19</v>
      </c>
      <c r="G316" s="1">
        <v>45879</v>
      </c>
      <c r="H316" s="1">
        <v>45890</v>
      </c>
      <c r="I316">
        <v>11</v>
      </c>
      <c r="J316">
        <v>116171</v>
      </c>
    </row>
    <row r="317" spans="1:10" x14ac:dyDescent="0.3">
      <c r="A317" t="s">
        <v>479</v>
      </c>
      <c r="B317" t="s">
        <v>146</v>
      </c>
      <c r="C317">
        <v>46</v>
      </c>
      <c r="D317" t="s">
        <v>17</v>
      </c>
      <c r="E317" t="s">
        <v>102</v>
      </c>
      <c r="F317" t="s">
        <v>19</v>
      </c>
      <c r="G317" s="1">
        <v>45865</v>
      </c>
      <c r="H317" s="1">
        <v>45876</v>
      </c>
      <c r="I317">
        <v>11</v>
      </c>
      <c r="J317">
        <v>110165</v>
      </c>
    </row>
    <row r="318" spans="1:10" x14ac:dyDescent="0.3">
      <c r="A318" t="s">
        <v>480</v>
      </c>
      <c r="B318" t="s">
        <v>481</v>
      </c>
      <c r="C318">
        <v>66</v>
      </c>
      <c r="D318" t="s">
        <v>12</v>
      </c>
      <c r="E318" t="s">
        <v>13</v>
      </c>
      <c r="F318" t="s">
        <v>14</v>
      </c>
      <c r="G318" s="1">
        <v>45913</v>
      </c>
      <c r="H318" s="1">
        <v>45924</v>
      </c>
      <c r="I318">
        <v>11</v>
      </c>
      <c r="J318">
        <v>92202</v>
      </c>
    </row>
    <row r="319" spans="1:10" x14ac:dyDescent="0.3">
      <c r="A319" t="s">
        <v>482</v>
      </c>
      <c r="B319" t="s">
        <v>428</v>
      </c>
      <c r="C319">
        <v>48</v>
      </c>
      <c r="D319" t="s">
        <v>17</v>
      </c>
      <c r="E319" t="s">
        <v>30</v>
      </c>
      <c r="F319" t="s">
        <v>42</v>
      </c>
      <c r="G319" s="1">
        <v>45858</v>
      </c>
      <c r="H319" s="1">
        <v>45861</v>
      </c>
      <c r="I319">
        <v>3</v>
      </c>
      <c r="J319">
        <v>13854</v>
      </c>
    </row>
    <row r="320" spans="1:10" x14ac:dyDescent="0.3">
      <c r="A320" t="s">
        <v>483</v>
      </c>
      <c r="B320" t="s">
        <v>484</v>
      </c>
      <c r="C320">
        <v>9</v>
      </c>
      <c r="D320" t="s">
        <v>17</v>
      </c>
      <c r="E320" t="s">
        <v>45</v>
      </c>
      <c r="F320" t="s">
        <v>59</v>
      </c>
      <c r="G320" s="1">
        <v>45918</v>
      </c>
      <c r="H320" s="1">
        <v>45922</v>
      </c>
      <c r="I320">
        <v>4</v>
      </c>
      <c r="J320">
        <v>40136</v>
      </c>
    </row>
    <row r="321" spans="1:10" x14ac:dyDescent="0.3">
      <c r="A321" t="s">
        <v>485</v>
      </c>
      <c r="B321" t="s">
        <v>409</v>
      </c>
      <c r="C321">
        <v>74</v>
      </c>
      <c r="D321" t="s">
        <v>12</v>
      </c>
      <c r="E321" t="s">
        <v>26</v>
      </c>
      <c r="F321" t="s">
        <v>34</v>
      </c>
      <c r="G321" s="1">
        <v>45691</v>
      </c>
      <c r="H321" s="1">
        <v>45693</v>
      </c>
      <c r="I321">
        <v>2</v>
      </c>
      <c r="J321">
        <v>17708</v>
      </c>
    </row>
    <row r="322" spans="1:10" x14ac:dyDescent="0.3">
      <c r="A322" t="s">
        <v>486</v>
      </c>
      <c r="B322" t="s">
        <v>464</v>
      </c>
      <c r="C322">
        <v>39</v>
      </c>
      <c r="D322" t="s">
        <v>12</v>
      </c>
      <c r="E322" t="s">
        <v>45</v>
      </c>
      <c r="F322" t="s">
        <v>19</v>
      </c>
      <c r="G322" s="1">
        <v>45795</v>
      </c>
      <c r="H322" s="1">
        <v>45808</v>
      </c>
      <c r="I322">
        <v>13</v>
      </c>
      <c r="J322">
        <v>132340</v>
      </c>
    </row>
    <row r="323" spans="1:10" x14ac:dyDescent="0.3">
      <c r="A323" t="s">
        <v>487</v>
      </c>
      <c r="B323" t="s">
        <v>47</v>
      </c>
      <c r="C323">
        <v>12</v>
      </c>
      <c r="D323" t="s">
        <v>12</v>
      </c>
      <c r="E323" t="s">
        <v>45</v>
      </c>
      <c r="F323" t="s">
        <v>27</v>
      </c>
      <c r="G323" s="1">
        <v>45663</v>
      </c>
      <c r="H323" s="1">
        <v>45671</v>
      </c>
      <c r="I323">
        <v>8</v>
      </c>
      <c r="J323">
        <v>71608</v>
      </c>
    </row>
    <row r="324" spans="1:10" x14ac:dyDescent="0.3">
      <c r="A324" t="s">
        <v>488</v>
      </c>
      <c r="B324" t="s">
        <v>52</v>
      </c>
      <c r="C324">
        <v>44</v>
      </c>
      <c r="D324" t="s">
        <v>17</v>
      </c>
      <c r="E324" t="s">
        <v>48</v>
      </c>
      <c r="F324" t="s">
        <v>19</v>
      </c>
      <c r="G324" s="1">
        <v>46018</v>
      </c>
      <c r="H324" s="1">
        <v>46023</v>
      </c>
      <c r="I324">
        <v>5</v>
      </c>
      <c r="J324">
        <v>52565</v>
      </c>
    </row>
    <row r="325" spans="1:10" x14ac:dyDescent="0.3">
      <c r="A325" t="s">
        <v>489</v>
      </c>
      <c r="B325" t="s">
        <v>288</v>
      </c>
      <c r="C325">
        <v>43</v>
      </c>
      <c r="D325" t="s">
        <v>12</v>
      </c>
      <c r="E325" t="s">
        <v>45</v>
      </c>
      <c r="F325" t="s">
        <v>23</v>
      </c>
      <c r="G325" s="1">
        <v>45930</v>
      </c>
      <c r="H325" s="1">
        <v>45937</v>
      </c>
      <c r="I325">
        <v>7</v>
      </c>
      <c r="J325">
        <v>62517</v>
      </c>
    </row>
    <row r="326" spans="1:10" x14ac:dyDescent="0.3">
      <c r="A326" t="s">
        <v>490</v>
      </c>
      <c r="B326" t="s">
        <v>50</v>
      </c>
      <c r="C326">
        <v>69</v>
      </c>
      <c r="D326" t="s">
        <v>12</v>
      </c>
      <c r="E326" t="s">
        <v>39</v>
      </c>
      <c r="F326" t="s">
        <v>14</v>
      </c>
      <c r="G326" s="1">
        <v>45772</v>
      </c>
      <c r="H326" s="1">
        <v>45787</v>
      </c>
      <c r="I326">
        <v>15</v>
      </c>
      <c r="J326">
        <v>175035</v>
      </c>
    </row>
    <row r="327" spans="1:10" x14ac:dyDescent="0.3">
      <c r="A327" t="s">
        <v>491</v>
      </c>
      <c r="B327" t="s">
        <v>397</v>
      </c>
      <c r="C327">
        <v>12</v>
      </c>
      <c r="D327" t="s">
        <v>12</v>
      </c>
      <c r="E327" t="s">
        <v>13</v>
      </c>
      <c r="F327" t="s">
        <v>27</v>
      </c>
      <c r="G327" s="1">
        <v>45742</v>
      </c>
      <c r="H327" s="1">
        <v>45747</v>
      </c>
      <c r="I327">
        <v>5</v>
      </c>
      <c r="J327">
        <v>52710</v>
      </c>
    </row>
    <row r="328" spans="1:10" x14ac:dyDescent="0.3">
      <c r="A328" t="s">
        <v>492</v>
      </c>
      <c r="B328" t="s">
        <v>294</v>
      </c>
      <c r="C328">
        <v>58</v>
      </c>
      <c r="D328" t="s">
        <v>12</v>
      </c>
      <c r="E328" t="s">
        <v>33</v>
      </c>
      <c r="F328" t="s">
        <v>23</v>
      </c>
      <c r="G328" s="1">
        <v>45677</v>
      </c>
      <c r="H328" s="1">
        <v>45688</v>
      </c>
      <c r="I328">
        <v>11</v>
      </c>
      <c r="J328">
        <v>69179</v>
      </c>
    </row>
    <row r="329" spans="1:10" x14ac:dyDescent="0.3">
      <c r="A329" t="s">
        <v>493</v>
      </c>
      <c r="B329" t="s">
        <v>426</v>
      </c>
      <c r="C329">
        <v>57</v>
      </c>
      <c r="D329" t="s">
        <v>17</v>
      </c>
      <c r="E329" t="s">
        <v>33</v>
      </c>
      <c r="F329" t="s">
        <v>59</v>
      </c>
      <c r="G329" s="1">
        <v>45758</v>
      </c>
      <c r="H329" s="1">
        <v>45772</v>
      </c>
      <c r="I329">
        <v>14</v>
      </c>
      <c r="J329">
        <v>167104</v>
      </c>
    </row>
    <row r="330" spans="1:10" x14ac:dyDescent="0.3">
      <c r="A330" t="s">
        <v>494</v>
      </c>
      <c r="B330" t="s">
        <v>241</v>
      </c>
      <c r="C330">
        <v>13</v>
      </c>
      <c r="D330" t="s">
        <v>12</v>
      </c>
      <c r="E330" t="s">
        <v>26</v>
      </c>
      <c r="F330" t="s">
        <v>62</v>
      </c>
      <c r="G330" s="1">
        <v>45746</v>
      </c>
      <c r="H330" s="1">
        <v>45757</v>
      </c>
      <c r="I330">
        <v>11</v>
      </c>
      <c r="J330">
        <v>54175</v>
      </c>
    </row>
    <row r="331" spans="1:10" x14ac:dyDescent="0.3">
      <c r="A331" t="s">
        <v>495</v>
      </c>
      <c r="B331" t="s">
        <v>256</v>
      </c>
      <c r="C331">
        <v>80</v>
      </c>
      <c r="D331" t="s">
        <v>17</v>
      </c>
      <c r="E331" t="s">
        <v>33</v>
      </c>
      <c r="F331" t="s">
        <v>34</v>
      </c>
      <c r="G331" s="1">
        <v>45718</v>
      </c>
      <c r="H331" s="1">
        <v>45732</v>
      </c>
      <c r="I331">
        <v>14</v>
      </c>
      <c r="J331">
        <v>114296</v>
      </c>
    </row>
    <row r="332" spans="1:10" x14ac:dyDescent="0.3">
      <c r="A332" t="s">
        <v>496</v>
      </c>
      <c r="B332" t="s">
        <v>160</v>
      </c>
      <c r="C332">
        <v>20</v>
      </c>
      <c r="D332" t="s">
        <v>12</v>
      </c>
      <c r="E332" t="s">
        <v>33</v>
      </c>
      <c r="F332" t="s">
        <v>62</v>
      </c>
      <c r="G332" s="1">
        <v>45859</v>
      </c>
      <c r="H332" s="1">
        <v>45862</v>
      </c>
      <c r="I332">
        <v>3</v>
      </c>
      <c r="J332">
        <v>35220</v>
      </c>
    </row>
    <row r="333" spans="1:10" x14ac:dyDescent="0.3">
      <c r="A333" t="s">
        <v>497</v>
      </c>
      <c r="B333" t="s">
        <v>217</v>
      </c>
      <c r="C333">
        <v>19</v>
      </c>
      <c r="D333" t="s">
        <v>17</v>
      </c>
      <c r="E333" t="s">
        <v>18</v>
      </c>
      <c r="F333" t="s">
        <v>23</v>
      </c>
      <c r="G333" s="1">
        <v>45867</v>
      </c>
      <c r="H333" s="1">
        <v>45881</v>
      </c>
      <c r="I333">
        <v>14</v>
      </c>
      <c r="J333">
        <v>58128</v>
      </c>
    </row>
    <row r="334" spans="1:10" x14ac:dyDescent="0.3">
      <c r="A334" t="s">
        <v>498</v>
      </c>
      <c r="B334" t="s">
        <v>288</v>
      </c>
      <c r="C334">
        <v>14</v>
      </c>
      <c r="D334" t="s">
        <v>12</v>
      </c>
      <c r="E334" t="s">
        <v>22</v>
      </c>
      <c r="F334" t="s">
        <v>27</v>
      </c>
      <c r="G334" s="1">
        <v>46022</v>
      </c>
      <c r="H334" s="1">
        <v>46029</v>
      </c>
      <c r="I334">
        <v>7</v>
      </c>
      <c r="J334">
        <v>28924</v>
      </c>
    </row>
    <row r="335" spans="1:10" x14ac:dyDescent="0.3">
      <c r="A335" t="s">
        <v>499</v>
      </c>
      <c r="B335" t="s">
        <v>211</v>
      </c>
      <c r="C335">
        <v>50</v>
      </c>
      <c r="D335" t="s">
        <v>17</v>
      </c>
      <c r="E335" t="s">
        <v>30</v>
      </c>
      <c r="F335" t="s">
        <v>14</v>
      </c>
      <c r="G335" s="1">
        <v>45674</v>
      </c>
      <c r="H335" s="1">
        <v>45687</v>
      </c>
      <c r="I335">
        <v>13</v>
      </c>
      <c r="J335">
        <v>144014</v>
      </c>
    </row>
    <row r="336" spans="1:10" x14ac:dyDescent="0.3">
      <c r="A336" t="s">
        <v>500</v>
      </c>
      <c r="B336" t="s">
        <v>86</v>
      </c>
      <c r="C336">
        <v>9</v>
      </c>
      <c r="D336" t="s">
        <v>12</v>
      </c>
      <c r="E336" t="s">
        <v>13</v>
      </c>
      <c r="F336" t="s">
        <v>23</v>
      </c>
      <c r="G336" s="1">
        <v>45980</v>
      </c>
      <c r="H336" s="1">
        <v>45984</v>
      </c>
      <c r="I336">
        <v>4</v>
      </c>
      <c r="J336">
        <v>34224</v>
      </c>
    </row>
    <row r="337" spans="1:10" x14ac:dyDescent="0.3">
      <c r="A337" t="s">
        <v>501</v>
      </c>
      <c r="B337" t="s">
        <v>66</v>
      </c>
      <c r="C337">
        <v>36</v>
      </c>
      <c r="D337" t="s">
        <v>12</v>
      </c>
      <c r="E337" t="s">
        <v>18</v>
      </c>
      <c r="F337" t="s">
        <v>59</v>
      </c>
      <c r="G337" s="1">
        <v>45743</v>
      </c>
      <c r="H337" s="1">
        <v>45746</v>
      </c>
      <c r="I337">
        <v>3</v>
      </c>
      <c r="J337">
        <v>20769</v>
      </c>
    </row>
    <row r="338" spans="1:10" x14ac:dyDescent="0.3">
      <c r="A338" t="s">
        <v>502</v>
      </c>
      <c r="B338" t="s">
        <v>11</v>
      </c>
      <c r="C338">
        <v>75</v>
      </c>
      <c r="D338" t="s">
        <v>12</v>
      </c>
      <c r="E338" t="s">
        <v>13</v>
      </c>
      <c r="F338" t="s">
        <v>23</v>
      </c>
      <c r="G338" s="1">
        <v>45929</v>
      </c>
      <c r="H338" s="1">
        <v>45944</v>
      </c>
      <c r="I338">
        <v>15</v>
      </c>
      <c r="J338">
        <v>80550</v>
      </c>
    </row>
    <row r="339" spans="1:10" x14ac:dyDescent="0.3">
      <c r="A339" t="s">
        <v>503</v>
      </c>
      <c r="B339" t="s">
        <v>471</v>
      </c>
      <c r="C339">
        <v>66</v>
      </c>
      <c r="D339" t="s">
        <v>17</v>
      </c>
      <c r="E339" t="s">
        <v>102</v>
      </c>
      <c r="F339" t="s">
        <v>59</v>
      </c>
      <c r="G339" s="1">
        <v>45906</v>
      </c>
      <c r="H339" s="1">
        <v>45909</v>
      </c>
      <c r="I339">
        <v>3</v>
      </c>
      <c r="J339">
        <v>35112</v>
      </c>
    </row>
    <row r="340" spans="1:10" x14ac:dyDescent="0.3">
      <c r="A340" t="s">
        <v>504</v>
      </c>
      <c r="B340" t="s">
        <v>134</v>
      </c>
      <c r="C340">
        <v>39</v>
      </c>
      <c r="D340" t="s">
        <v>17</v>
      </c>
      <c r="E340" t="s">
        <v>13</v>
      </c>
      <c r="F340" t="s">
        <v>59</v>
      </c>
      <c r="G340" s="1">
        <v>45973</v>
      </c>
      <c r="H340" s="1">
        <v>45983</v>
      </c>
      <c r="I340">
        <v>10</v>
      </c>
      <c r="J340">
        <v>115880</v>
      </c>
    </row>
    <row r="341" spans="1:10" x14ac:dyDescent="0.3">
      <c r="A341" t="s">
        <v>505</v>
      </c>
      <c r="B341" t="s">
        <v>371</v>
      </c>
      <c r="C341">
        <v>15</v>
      </c>
      <c r="D341" t="s">
        <v>12</v>
      </c>
      <c r="E341" t="s">
        <v>26</v>
      </c>
      <c r="F341" t="s">
        <v>19</v>
      </c>
      <c r="G341" s="1">
        <v>46021</v>
      </c>
      <c r="H341" s="1">
        <v>46026</v>
      </c>
      <c r="I341">
        <v>5</v>
      </c>
      <c r="J341">
        <v>33170</v>
      </c>
    </row>
    <row r="342" spans="1:10" x14ac:dyDescent="0.3">
      <c r="A342" t="s">
        <v>506</v>
      </c>
      <c r="B342" t="s">
        <v>353</v>
      </c>
      <c r="C342">
        <v>35</v>
      </c>
      <c r="D342" t="s">
        <v>17</v>
      </c>
      <c r="E342" t="s">
        <v>22</v>
      </c>
      <c r="F342" t="s">
        <v>23</v>
      </c>
      <c r="G342" s="1">
        <v>46015</v>
      </c>
      <c r="H342" s="1">
        <v>46018</v>
      </c>
      <c r="I342">
        <v>3</v>
      </c>
      <c r="J342">
        <v>25176</v>
      </c>
    </row>
    <row r="343" spans="1:10" x14ac:dyDescent="0.3">
      <c r="A343" t="s">
        <v>507</v>
      </c>
      <c r="B343" t="s">
        <v>267</v>
      </c>
      <c r="C343">
        <v>43</v>
      </c>
      <c r="D343" t="s">
        <v>12</v>
      </c>
      <c r="E343" t="s">
        <v>33</v>
      </c>
      <c r="F343" t="s">
        <v>62</v>
      </c>
      <c r="G343" s="1">
        <v>45990</v>
      </c>
      <c r="H343" s="1">
        <v>46001</v>
      </c>
      <c r="I343">
        <v>11</v>
      </c>
      <c r="J343">
        <v>95260</v>
      </c>
    </row>
    <row r="344" spans="1:10" x14ac:dyDescent="0.3">
      <c r="A344" t="s">
        <v>508</v>
      </c>
      <c r="B344" t="s">
        <v>164</v>
      </c>
      <c r="C344">
        <v>45</v>
      </c>
      <c r="D344" t="s">
        <v>17</v>
      </c>
      <c r="E344" t="s">
        <v>39</v>
      </c>
      <c r="F344" t="s">
        <v>23</v>
      </c>
      <c r="G344" s="1">
        <v>45779</v>
      </c>
      <c r="H344" s="1">
        <v>45781</v>
      </c>
      <c r="I344">
        <v>2</v>
      </c>
      <c r="J344">
        <v>17404</v>
      </c>
    </row>
    <row r="345" spans="1:10" x14ac:dyDescent="0.3">
      <c r="A345" t="s">
        <v>509</v>
      </c>
      <c r="B345" t="s">
        <v>58</v>
      </c>
      <c r="C345">
        <v>63</v>
      </c>
      <c r="D345" t="s">
        <v>12</v>
      </c>
      <c r="E345" t="s">
        <v>18</v>
      </c>
      <c r="F345" t="s">
        <v>62</v>
      </c>
      <c r="G345" s="1">
        <v>45696</v>
      </c>
      <c r="H345" s="1">
        <v>45705</v>
      </c>
      <c r="I345">
        <v>9</v>
      </c>
      <c r="J345">
        <v>104463</v>
      </c>
    </row>
    <row r="346" spans="1:10" x14ac:dyDescent="0.3">
      <c r="A346" t="s">
        <v>510</v>
      </c>
      <c r="B346" t="s">
        <v>56</v>
      </c>
      <c r="C346">
        <v>20</v>
      </c>
      <c r="D346" t="s">
        <v>17</v>
      </c>
      <c r="E346" t="s">
        <v>22</v>
      </c>
      <c r="F346" t="s">
        <v>34</v>
      </c>
      <c r="G346" s="1">
        <v>45682</v>
      </c>
      <c r="H346" s="1">
        <v>45691</v>
      </c>
      <c r="I346">
        <v>9</v>
      </c>
      <c r="J346">
        <v>40707</v>
      </c>
    </row>
    <row r="347" spans="1:10" x14ac:dyDescent="0.3">
      <c r="A347" t="s">
        <v>511</v>
      </c>
      <c r="B347" t="s">
        <v>146</v>
      </c>
      <c r="C347">
        <v>40</v>
      </c>
      <c r="D347" t="s">
        <v>17</v>
      </c>
      <c r="E347" t="s">
        <v>48</v>
      </c>
      <c r="F347" t="s">
        <v>59</v>
      </c>
      <c r="G347" s="1">
        <v>45704</v>
      </c>
      <c r="H347" s="1">
        <v>45709</v>
      </c>
      <c r="I347">
        <v>5</v>
      </c>
      <c r="J347">
        <v>48395</v>
      </c>
    </row>
    <row r="348" spans="1:10" x14ac:dyDescent="0.3">
      <c r="A348" t="s">
        <v>512</v>
      </c>
      <c r="B348" t="s">
        <v>52</v>
      </c>
      <c r="C348">
        <v>90</v>
      </c>
      <c r="D348" t="s">
        <v>12</v>
      </c>
      <c r="E348" t="s">
        <v>18</v>
      </c>
      <c r="F348" t="s">
        <v>19</v>
      </c>
      <c r="G348" s="1">
        <v>45677</v>
      </c>
      <c r="H348" s="1">
        <v>45686</v>
      </c>
      <c r="I348">
        <v>9</v>
      </c>
      <c r="J348">
        <v>62307</v>
      </c>
    </row>
    <row r="349" spans="1:10" x14ac:dyDescent="0.3">
      <c r="A349" t="s">
        <v>513</v>
      </c>
      <c r="B349" t="s">
        <v>171</v>
      </c>
      <c r="C349">
        <v>76</v>
      </c>
      <c r="D349" t="s">
        <v>17</v>
      </c>
      <c r="E349" t="s">
        <v>102</v>
      </c>
      <c r="F349" t="s">
        <v>14</v>
      </c>
      <c r="G349" s="1">
        <v>45896</v>
      </c>
      <c r="H349" s="1">
        <v>45899</v>
      </c>
      <c r="I349">
        <v>3</v>
      </c>
      <c r="J349">
        <v>26649</v>
      </c>
    </row>
    <row r="350" spans="1:10" x14ac:dyDescent="0.3">
      <c r="A350" t="s">
        <v>514</v>
      </c>
      <c r="B350" t="s">
        <v>306</v>
      </c>
      <c r="C350">
        <v>70</v>
      </c>
      <c r="D350" t="s">
        <v>12</v>
      </c>
      <c r="E350" t="s">
        <v>102</v>
      </c>
      <c r="F350" t="s">
        <v>27</v>
      </c>
      <c r="G350" s="1">
        <v>45858</v>
      </c>
      <c r="H350" s="1">
        <v>45864</v>
      </c>
      <c r="I350">
        <v>6</v>
      </c>
      <c r="J350">
        <v>65322</v>
      </c>
    </row>
    <row r="351" spans="1:10" x14ac:dyDescent="0.3">
      <c r="A351" t="s">
        <v>515</v>
      </c>
      <c r="B351" t="s">
        <v>308</v>
      </c>
      <c r="C351">
        <v>81</v>
      </c>
      <c r="D351" t="s">
        <v>17</v>
      </c>
      <c r="E351" t="s">
        <v>45</v>
      </c>
      <c r="F351" t="s">
        <v>14</v>
      </c>
      <c r="G351" s="1">
        <v>45911</v>
      </c>
      <c r="H351" s="1">
        <v>45919</v>
      </c>
      <c r="I351">
        <v>8</v>
      </c>
      <c r="J351">
        <v>63888</v>
      </c>
    </row>
    <row r="352" spans="1:10" x14ac:dyDescent="0.3">
      <c r="A352" t="s">
        <v>516</v>
      </c>
      <c r="B352" t="s">
        <v>426</v>
      </c>
      <c r="C352">
        <v>48</v>
      </c>
      <c r="D352" t="s">
        <v>17</v>
      </c>
      <c r="E352" t="s">
        <v>18</v>
      </c>
      <c r="F352" t="s">
        <v>42</v>
      </c>
      <c r="G352" s="1">
        <v>45729</v>
      </c>
      <c r="H352" s="1">
        <v>45733</v>
      </c>
      <c r="I352">
        <v>4</v>
      </c>
      <c r="J352">
        <v>33732</v>
      </c>
    </row>
    <row r="353" spans="1:10" x14ac:dyDescent="0.3">
      <c r="A353" t="s">
        <v>517</v>
      </c>
      <c r="B353" t="s">
        <v>238</v>
      </c>
      <c r="C353">
        <v>63</v>
      </c>
      <c r="D353" t="s">
        <v>12</v>
      </c>
      <c r="E353" t="s">
        <v>22</v>
      </c>
      <c r="F353" t="s">
        <v>62</v>
      </c>
      <c r="G353" s="1">
        <v>45975</v>
      </c>
      <c r="H353" s="1">
        <v>45984</v>
      </c>
      <c r="I353">
        <v>9</v>
      </c>
      <c r="J353">
        <v>79740</v>
      </c>
    </row>
    <row r="354" spans="1:10" x14ac:dyDescent="0.3">
      <c r="A354" t="s">
        <v>518</v>
      </c>
      <c r="B354" t="s">
        <v>64</v>
      </c>
      <c r="C354">
        <v>5</v>
      </c>
      <c r="D354" t="s">
        <v>17</v>
      </c>
      <c r="E354" t="s">
        <v>22</v>
      </c>
      <c r="F354" t="s">
        <v>23</v>
      </c>
      <c r="G354" s="1">
        <v>45992</v>
      </c>
      <c r="H354" s="1">
        <v>45996</v>
      </c>
      <c r="I354">
        <v>4</v>
      </c>
      <c r="J354">
        <v>44192</v>
      </c>
    </row>
    <row r="355" spans="1:10" x14ac:dyDescent="0.3">
      <c r="A355" t="s">
        <v>519</v>
      </c>
      <c r="B355" t="s">
        <v>125</v>
      </c>
      <c r="C355">
        <v>40</v>
      </c>
      <c r="D355" t="s">
        <v>17</v>
      </c>
      <c r="E355" t="s">
        <v>33</v>
      </c>
      <c r="F355" t="s">
        <v>42</v>
      </c>
      <c r="G355" s="1">
        <v>45787</v>
      </c>
      <c r="H355" s="1">
        <v>45797</v>
      </c>
      <c r="I355">
        <v>10</v>
      </c>
      <c r="J355">
        <v>63580</v>
      </c>
    </row>
    <row r="356" spans="1:10" x14ac:dyDescent="0.3">
      <c r="A356" t="s">
        <v>520</v>
      </c>
      <c r="B356" t="s">
        <v>151</v>
      </c>
      <c r="C356">
        <v>70</v>
      </c>
      <c r="D356" t="s">
        <v>17</v>
      </c>
      <c r="E356" t="s">
        <v>18</v>
      </c>
      <c r="F356" t="s">
        <v>14</v>
      </c>
      <c r="G356" s="1">
        <v>45850</v>
      </c>
      <c r="H356" s="1">
        <v>45857</v>
      </c>
      <c r="I356">
        <v>7</v>
      </c>
      <c r="J356">
        <v>73108</v>
      </c>
    </row>
    <row r="357" spans="1:10" x14ac:dyDescent="0.3">
      <c r="A357" t="s">
        <v>521</v>
      </c>
      <c r="B357" t="s">
        <v>66</v>
      </c>
      <c r="C357">
        <v>48</v>
      </c>
      <c r="D357" t="s">
        <v>17</v>
      </c>
      <c r="E357" t="s">
        <v>33</v>
      </c>
      <c r="F357" t="s">
        <v>23</v>
      </c>
      <c r="G357" s="1">
        <v>45819</v>
      </c>
      <c r="H357" s="1">
        <v>45826</v>
      </c>
      <c r="I357">
        <v>7</v>
      </c>
      <c r="J357">
        <v>77637</v>
      </c>
    </row>
    <row r="358" spans="1:10" x14ac:dyDescent="0.3">
      <c r="A358" t="s">
        <v>522</v>
      </c>
      <c r="B358" t="s">
        <v>236</v>
      </c>
      <c r="C358">
        <v>39</v>
      </c>
      <c r="D358" t="s">
        <v>17</v>
      </c>
      <c r="E358" t="s">
        <v>26</v>
      </c>
      <c r="F358" t="s">
        <v>59</v>
      </c>
      <c r="G358" s="1">
        <v>45935</v>
      </c>
      <c r="H358" s="1">
        <v>45936</v>
      </c>
      <c r="I358">
        <v>1</v>
      </c>
      <c r="J358">
        <v>8791</v>
      </c>
    </row>
    <row r="359" spans="1:10" x14ac:dyDescent="0.3">
      <c r="A359" t="s">
        <v>523</v>
      </c>
      <c r="B359" t="s">
        <v>461</v>
      </c>
      <c r="C359">
        <v>19</v>
      </c>
      <c r="D359" t="s">
        <v>17</v>
      </c>
      <c r="E359" t="s">
        <v>45</v>
      </c>
      <c r="F359" t="s">
        <v>14</v>
      </c>
      <c r="G359" s="1">
        <v>46022</v>
      </c>
      <c r="H359" s="1">
        <v>46034</v>
      </c>
      <c r="I359">
        <v>12</v>
      </c>
      <c r="J359">
        <v>54576</v>
      </c>
    </row>
    <row r="360" spans="1:10" x14ac:dyDescent="0.3">
      <c r="A360" t="s">
        <v>524</v>
      </c>
      <c r="B360" t="s">
        <v>58</v>
      </c>
      <c r="C360">
        <v>87</v>
      </c>
      <c r="D360" t="s">
        <v>12</v>
      </c>
      <c r="E360" t="s">
        <v>30</v>
      </c>
      <c r="F360" t="s">
        <v>27</v>
      </c>
      <c r="G360" s="1">
        <v>45784</v>
      </c>
      <c r="H360" s="1">
        <v>45797</v>
      </c>
      <c r="I360">
        <v>13</v>
      </c>
      <c r="J360">
        <v>148291</v>
      </c>
    </row>
    <row r="361" spans="1:10" x14ac:dyDescent="0.3">
      <c r="A361" t="s">
        <v>525</v>
      </c>
      <c r="B361" t="s">
        <v>47</v>
      </c>
      <c r="C361">
        <v>75</v>
      </c>
      <c r="D361" t="s">
        <v>12</v>
      </c>
      <c r="E361" t="s">
        <v>33</v>
      </c>
      <c r="F361" t="s">
        <v>42</v>
      </c>
      <c r="G361" s="1">
        <v>45903</v>
      </c>
      <c r="H361" s="1">
        <v>45906</v>
      </c>
      <c r="I361">
        <v>3</v>
      </c>
      <c r="J361">
        <v>29802</v>
      </c>
    </row>
    <row r="362" spans="1:10" x14ac:dyDescent="0.3">
      <c r="A362" t="s">
        <v>526</v>
      </c>
      <c r="B362" t="s">
        <v>86</v>
      </c>
      <c r="C362">
        <v>13</v>
      </c>
      <c r="D362" t="s">
        <v>12</v>
      </c>
      <c r="E362" t="s">
        <v>22</v>
      </c>
      <c r="F362" t="s">
        <v>59</v>
      </c>
      <c r="G362" s="1">
        <v>45734</v>
      </c>
      <c r="H362" s="1">
        <v>45742</v>
      </c>
      <c r="I362">
        <v>8</v>
      </c>
      <c r="J362">
        <v>85216</v>
      </c>
    </row>
    <row r="363" spans="1:10" x14ac:dyDescent="0.3">
      <c r="A363" t="s">
        <v>527</v>
      </c>
      <c r="B363" t="s">
        <v>375</v>
      </c>
      <c r="C363">
        <v>4</v>
      </c>
      <c r="D363" t="s">
        <v>17</v>
      </c>
      <c r="E363" t="s">
        <v>13</v>
      </c>
      <c r="F363" t="s">
        <v>59</v>
      </c>
      <c r="G363" s="1">
        <v>45933</v>
      </c>
      <c r="H363" s="1">
        <v>45941</v>
      </c>
      <c r="I363">
        <v>8</v>
      </c>
      <c r="J363">
        <v>33080</v>
      </c>
    </row>
    <row r="364" spans="1:10" x14ac:dyDescent="0.3">
      <c r="A364" t="s">
        <v>528</v>
      </c>
      <c r="B364" t="s">
        <v>330</v>
      </c>
      <c r="C364">
        <v>16</v>
      </c>
      <c r="D364" t="s">
        <v>17</v>
      </c>
      <c r="E364" t="s">
        <v>33</v>
      </c>
      <c r="F364" t="s">
        <v>42</v>
      </c>
      <c r="G364" s="1">
        <v>45684</v>
      </c>
      <c r="H364" s="1">
        <v>45688</v>
      </c>
      <c r="I364">
        <v>4</v>
      </c>
      <c r="J364">
        <v>35128</v>
      </c>
    </row>
    <row r="365" spans="1:10" x14ac:dyDescent="0.3">
      <c r="A365" t="s">
        <v>529</v>
      </c>
      <c r="B365" t="s">
        <v>162</v>
      </c>
      <c r="C365">
        <v>18</v>
      </c>
      <c r="D365" t="s">
        <v>17</v>
      </c>
      <c r="E365" t="s">
        <v>13</v>
      </c>
      <c r="F365" t="s">
        <v>27</v>
      </c>
      <c r="G365" s="1">
        <v>45961</v>
      </c>
      <c r="H365" s="1">
        <v>45963</v>
      </c>
      <c r="I365">
        <v>2</v>
      </c>
      <c r="J365">
        <v>11896</v>
      </c>
    </row>
    <row r="366" spans="1:10" x14ac:dyDescent="0.3">
      <c r="A366" t="s">
        <v>530</v>
      </c>
      <c r="B366" t="s">
        <v>58</v>
      </c>
      <c r="C366">
        <v>35</v>
      </c>
      <c r="D366" t="s">
        <v>12</v>
      </c>
      <c r="E366" t="s">
        <v>39</v>
      </c>
      <c r="F366" t="s">
        <v>27</v>
      </c>
      <c r="G366" s="1">
        <v>45932</v>
      </c>
      <c r="H366" s="1">
        <v>45947</v>
      </c>
      <c r="I366">
        <v>15</v>
      </c>
      <c r="J366">
        <v>125055</v>
      </c>
    </row>
    <row r="367" spans="1:10" x14ac:dyDescent="0.3">
      <c r="A367" t="s">
        <v>531</v>
      </c>
      <c r="B367" t="s">
        <v>397</v>
      </c>
      <c r="C367">
        <v>36</v>
      </c>
      <c r="D367" t="s">
        <v>17</v>
      </c>
      <c r="E367" t="s">
        <v>26</v>
      </c>
      <c r="F367" t="s">
        <v>59</v>
      </c>
      <c r="G367" s="1">
        <v>45794</v>
      </c>
      <c r="H367" s="1">
        <v>45801</v>
      </c>
      <c r="I367">
        <v>7</v>
      </c>
      <c r="J367">
        <v>71743</v>
      </c>
    </row>
    <row r="368" spans="1:10" x14ac:dyDescent="0.3">
      <c r="A368" t="s">
        <v>532</v>
      </c>
      <c r="B368" t="s">
        <v>471</v>
      </c>
      <c r="C368">
        <v>85</v>
      </c>
      <c r="D368" t="s">
        <v>17</v>
      </c>
      <c r="E368" t="s">
        <v>26</v>
      </c>
      <c r="F368" t="s">
        <v>34</v>
      </c>
      <c r="G368" s="1">
        <v>45758</v>
      </c>
      <c r="H368" s="1">
        <v>45764</v>
      </c>
      <c r="I368">
        <v>6</v>
      </c>
      <c r="J368">
        <v>24072</v>
      </c>
    </row>
    <row r="369" spans="1:10" x14ac:dyDescent="0.3">
      <c r="A369" t="s">
        <v>533</v>
      </c>
      <c r="B369" t="s">
        <v>142</v>
      </c>
      <c r="C369">
        <v>4</v>
      </c>
      <c r="D369" t="s">
        <v>17</v>
      </c>
      <c r="E369" t="s">
        <v>30</v>
      </c>
      <c r="F369" t="s">
        <v>23</v>
      </c>
      <c r="G369" s="1">
        <v>45677</v>
      </c>
      <c r="H369" s="1">
        <v>45688</v>
      </c>
      <c r="I369">
        <v>11</v>
      </c>
      <c r="J369">
        <v>117744</v>
      </c>
    </row>
    <row r="370" spans="1:10" x14ac:dyDescent="0.3">
      <c r="A370" t="s">
        <v>534</v>
      </c>
      <c r="B370" t="s">
        <v>381</v>
      </c>
      <c r="C370">
        <v>19</v>
      </c>
      <c r="D370" t="s">
        <v>17</v>
      </c>
      <c r="E370" t="s">
        <v>18</v>
      </c>
      <c r="F370" t="s">
        <v>27</v>
      </c>
      <c r="G370" s="1">
        <v>45731</v>
      </c>
      <c r="H370" s="1">
        <v>45737</v>
      </c>
      <c r="I370">
        <v>6</v>
      </c>
      <c r="J370">
        <v>54462</v>
      </c>
    </row>
    <row r="371" spans="1:10" x14ac:dyDescent="0.3">
      <c r="A371" t="s">
        <v>535</v>
      </c>
      <c r="B371" t="s">
        <v>245</v>
      </c>
      <c r="C371">
        <v>42</v>
      </c>
      <c r="D371" t="s">
        <v>12</v>
      </c>
      <c r="E371" t="s">
        <v>45</v>
      </c>
      <c r="F371" t="s">
        <v>14</v>
      </c>
      <c r="G371" s="1">
        <v>45661</v>
      </c>
      <c r="H371" s="1">
        <v>45673</v>
      </c>
      <c r="I371">
        <v>12</v>
      </c>
      <c r="J371">
        <v>101376</v>
      </c>
    </row>
    <row r="372" spans="1:10" x14ac:dyDescent="0.3">
      <c r="A372" t="s">
        <v>536</v>
      </c>
      <c r="B372" t="s">
        <v>308</v>
      </c>
      <c r="C372">
        <v>6</v>
      </c>
      <c r="D372" t="s">
        <v>12</v>
      </c>
      <c r="E372" t="s">
        <v>22</v>
      </c>
      <c r="F372" t="s">
        <v>14</v>
      </c>
      <c r="G372" s="1">
        <v>45934</v>
      </c>
      <c r="H372" s="1">
        <v>45945</v>
      </c>
      <c r="I372">
        <v>11</v>
      </c>
      <c r="J372">
        <v>45386</v>
      </c>
    </row>
    <row r="373" spans="1:10" x14ac:dyDescent="0.3">
      <c r="A373" t="s">
        <v>537</v>
      </c>
      <c r="B373" t="s">
        <v>467</v>
      </c>
      <c r="C373">
        <v>65</v>
      </c>
      <c r="D373" t="s">
        <v>17</v>
      </c>
      <c r="E373" t="s">
        <v>18</v>
      </c>
      <c r="F373" t="s">
        <v>19</v>
      </c>
      <c r="G373" s="1">
        <v>45695</v>
      </c>
      <c r="H373" s="1">
        <v>45710</v>
      </c>
      <c r="I373">
        <v>15</v>
      </c>
      <c r="J373">
        <v>110805</v>
      </c>
    </row>
    <row r="374" spans="1:10" x14ac:dyDescent="0.3">
      <c r="A374" t="s">
        <v>538</v>
      </c>
      <c r="B374" t="s">
        <v>361</v>
      </c>
      <c r="C374">
        <v>41</v>
      </c>
      <c r="D374" t="s">
        <v>12</v>
      </c>
      <c r="E374" t="s">
        <v>102</v>
      </c>
      <c r="F374" t="s">
        <v>42</v>
      </c>
      <c r="G374" s="1">
        <v>45715</v>
      </c>
      <c r="H374" s="1">
        <v>45728</v>
      </c>
      <c r="I374">
        <v>13</v>
      </c>
      <c r="J374">
        <v>55874</v>
      </c>
    </row>
    <row r="375" spans="1:10" x14ac:dyDescent="0.3">
      <c r="A375" t="s">
        <v>539</v>
      </c>
      <c r="B375" t="s">
        <v>109</v>
      </c>
      <c r="C375">
        <v>81</v>
      </c>
      <c r="D375" t="s">
        <v>12</v>
      </c>
      <c r="E375" t="s">
        <v>45</v>
      </c>
      <c r="F375" t="s">
        <v>34</v>
      </c>
      <c r="G375" s="1">
        <v>45759</v>
      </c>
      <c r="H375" s="1">
        <v>45761</v>
      </c>
      <c r="I375">
        <v>2</v>
      </c>
      <c r="J375">
        <v>13064</v>
      </c>
    </row>
    <row r="376" spans="1:10" x14ac:dyDescent="0.3">
      <c r="A376" t="s">
        <v>540</v>
      </c>
      <c r="B376" t="s">
        <v>32</v>
      </c>
      <c r="C376">
        <v>28</v>
      </c>
      <c r="D376" t="s">
        <v>12</v>
      </c>
      <c r="E376" t="s">
        <v>33</v>
      </c>
      <c r="F376" t="s">
        <v>23</v>
      </c>
      <c r="G376" s="1">
        <v>45945</v>
      </c>
      <c r="H376" s="1">
        <v>45949</v>
      </c>
      <c r="I376">
        <v>4</v>
      </c>
      <c r="J376">
        <v>19768</v>
      </c>
    </row>
    <row r="377" spans="1:10" x14ac:dyDescent="0.3">
      <c r="A377" t="s">
        <v>541</v>
      </c>
      <c r="B377" t="s">
        <v>68</v>
      </c>
      <c r="C377">
        <v>39</v>
      </c>
      <c r="D377" t="s">
        <v>17</v>
      </c>
      <c r="E377" t="s">
        <v>33</v>
      </c>
      <c r="F377" t="s">
        <v>19</v>
      </c>
      <c r="G377" s="1">
        <v>45974</v>
      </c>
      <c r="H377" s="1">
        <v>45981</v>
      </c>
      <c r="I377">
        <v>7</v>
      </c>
      <c r="J377">
        <v>50085</v>
      </c>
    </row>
    <row r="378" spans="1:10" x14ac:dyDescent="0.3">
      <c r="A378" t="s">
        <v>542</v>
      </c>
      <c r="B378" t="s">
        <v>116</v>
      </c>
      <c r="C378">
        <v>87</v>
      </c>
      <c r="D378" t="s">
        <v>12</v>
      </c>
      <c r="E378" t="s">
        <v>26</v>
      </c>
      <c r="F378" t="s">
        <v>34</v>
      </c>
      <c r="G378" s="1">
        <v>45861</v>
      </c>
      <c r="H378" s="1">
        <v>45876</v>
      </c>
      <c r="I378">
        <v>15</v>
      </c>
      <c r="J378">
        <v>69150</v>
      </c>
    </row>
    <row r="379" spans="1:10" x14ac:dyDescent="0.3">
      <c r="A379" t="s">
        <v>543</v>
      </c>
      <c r="B379" t="s">
        <v>112</v>
      </c>
      <c r="C379">
        <v>28</v>
      </c>
      <c r="D379" t="s">
        <v>17</v>
      </c>
      <c r="E379" t="s">
        <v>18</v>
      </c>
      <c r="F379" t="s">
        <v>23</v>
      </c>
      <c r="G379" s="1">
        <v>45918</v>
      </c>
      <c r="H379" s="1">
        <v>45924</v>
      </c>
      <c r="I379">
        <v>6</v>
      </c>
      <c r="J379">
        <v>36486</v>
      </c>
    </row>
    <row r="380" spans="1:10" x14ac:dyDescent="0.3">
      <c r="A380" t="s">
        <v>544</v>
      </c>
      <c r="B380" t="s">
        <v>44</v>
      </c>
      <c r="C380">
        <v>89</v>
      </c>
      <c r="D380" t="s">
        <v>12</v>
      </c>
      <c r="E380" t="s">
        <v>13</v>
      </c>
      <c r="F380" t="s">
        <v>59</v>
      </c>
      <c r="G380" s="1">
        <v>45859</v>
      </c>
      <c r="H380" s="1">
        <v>45866</v>
      </c>
      <c r="I380">
        <v>7</v>
      </c>
      <c r="J380">
        <v>37793</v>
      </c>
    </row>
    <row r="381" spans="1:10" x14ac:dyDescent="0.3">
      <c r="A381" t="s">
        <v>545</v>
      </c>
      <c r="B381" t="s">
        <v>25</v>
      </c>
      <c r="C381">
        <v>7</v>
      </c>
      <c r="D381" t="s">
        <v>12</v>
      </c>
      <c r="E381" t="s">
        <v>102</v>
      </c>
      <c r="F381" t="s">
        <v>23</v>
      </c>
      <c r="G381" s="1">
        <v>45956</v>
      </c>
      <c r="H381" s="1">
        <v>45970</v>
      </c>
      <c r="I381">
        <v>14</v>
      </c>
      <c r="J381">
        <v>97370</v>
      </c>
    </row>
    <row r="382" spans="1:10" x14ac:dyDescent="0.3">
      <c r="A382" t="s">
        <v>546</v>
      </c>
      <c r="B382" t="s">
        <v>191</v>
      </c>
      <c r="C382">
        <v>64</v>
      </c>
      <c r="D382" t="s">
        <v>12</v>
      </c>
      <c r="E382" t="s">
        <v>18</v>
      </c>
      <c r="F382" t="s">
        <v>23</v>
      </c>
      <c r="G382" s="1">
        <v>45719</v>
      </c>
      <c r="H382" s="1">
        <v>45727</v>
      </c>
      <c r="I382">
        <v>8</v>
      </c>
      <c r="J382">
        <v>63712</v>
      </c>
    </row>
    <row r="383" spans="1:10" x14ac:dyDescent="0.3">
      <c r="A383" t="s">
        <v>547</v>
      </c>
      <c r="B383" t="s">
        <v>44</v>
      </c>
      <c r="C383">
        <v>20</v>
      </c>
      <c r="D383" t="s">
        <v>12</v>
      </c>
      <c r="E383" t="s">
        <v>33</v>
      </c>
      <c r="F383" t="s">
        <v>42</v>
      </c>
      <c r="G383" s="1">
        <v>45984</v>
      </c>
      <c r="H383" s="1">
        <v>45986</v>
      </c>
      <c r="I383">
        <v>2</v>
      </c>
      <c r="J383">
        <v>14386</v>
      </c>
    </row>
    <row r="384" spans="1:10" x14ac:dyDescent="0.3">
      <c r="A384" t="s">
        <v>548</v>
      </c>
      <c r="B384" t="s">
        <v>334</v>
      </c>
      <c r="C384">
        <v>34</v>
      </c>
      <c r="D384" t="s">
        <v>12</v>
      </c>
      <c r="E384" t="s">
        <v>30</v>
      </c>
      <c r="F384" t="s">
        <v>23</v>
      </c>
      <c r="G384" s="1">
        <v>45870</v>
      </c>
      <c r="H384" s="1">
        <v>45871</v>
      </c>
      <c r="I384">
        <v>1</v>
      </c>
      <c r="J384">
        <v>10815</v>
      </c>
    </row>
    <row r="385" spans="1:10" x14ac:dyDescent="0.3">
      <c r="A385" t="s">
        <v>549</v>
      </c>
      <c r="B385" t="s">
        <v>550</v>
      </c>
      <c r="C385">
        <v>50</v>
      </c>
      <c r="D385" t="s">
        <v>12</v>
      </c>
      <c r="E385" t="s">
        <v>39</v>
      </c>
      <c r="F385" t="s">
        <v>27</v>
      </c>
      <c r="G385" s="1">
        <v>45910</v>
      </c>
      <c r="H385" s="1">
        <v>45917</v>
      </c>
      <c r="I385">
        <v>7</v>
      </c>
      <c r="J385">
        <v>72331</v>
      </c>
    </row>
    <row r="386" spans="1:10" x14ac:dyDescent="0.3">
      <c r="A386" t="s">
        <v>551</v>
      </c>
      <c r="B386" t="s">
        <v>207</v>
      </c>
      <c r="C386">
        <v>22</v>
      </c>
      <c r="D386" t="s">
        <v>12</v>
      </c>
      <c r="E386" t="s">
        <v>18</v>
      </c>
      <c r="F386" t="s">
        <v>27</v>
      </c>
      <c r="G386" s="1">
        <v>45849</v>
      </c>
      <c r="H386" s="1">
        <v>45858</v>
      </c>
      <c r="I386">
        <v>9</v>
      </c>
      <c r="J386">
        <v>99918</v>
      </c>
    </row>
    <row r="387" spans="1:10" x14ac:dyDescent="0.3">
      <c r="A387" t="s">
        <v>552</v>
      </c>
      <c r="B387" t="s">
        <v>156</v>
      </c>
      <c r="C387">
        <v>19</v>
      </c>
      <c r="D387" t="s">
        <v>12</v>
      </c>
      <c r="E387" t="s">
        <v>22</v>
      </c>
      <c r="F387" t="s">
        <v>34</v>
      </c>
      <c r="G387" s="1">
        <v>45757</v>
      </c>
      <c r="H387" s="1">
        <v>45760</v>
      </c>
      <c r="I387">
        <v>3</v>
      </c>
      <c r="J387">
        <v>32208</v>
      </c>
    </row>
    <row r="388" spans="1:10" x14ac:dyDescent="0.3">
      <c r="A388" t="s">
        <v>553</v>
      </c>
      <c r="B388" t="s">
        <v>554</v>
      </c>
      <c r="C388">
        <v>43</v>
      </c>
      <c r="D388" t="s">
        <v>12</v>
      </c>
      <c r="E388" t="s">
        <v>33</v>
      </c>
      <c r="F388" t="s">
        <v>14</v>
      </c>
      <c r="G388" s="1">
        <v>45930</v>
      </c>
      <c r="H388" s="1">
        <v>45945</v>
      </c>
      <c r="I388">
        <v>15</v>
      </c>
      <c r="J388">
        <v>114030</v>
      </c>
    </row>
    <row r="389" spans="1:10" x14ac:dyDescent="0.3">
      <c r="A389" t="s">
        <v>555</v>
      </c>
      <c r="B389" t="s">
        <v>151</v>
      </c>
      <c r="C389">
        <v>9</v>
      </c>
      <c r="D389" t="s">
        <v>12</v>
      </c>
      <c r="E389" t="s">
        <v>45</v>
      </c>
      <c r="F389" t="s">
        <v>14</v>
      </c>
      <c r="G389" s="1">
        <v>46010</v>
      </c>
      <c r="H389" s="1">
        <v>46016</v>
      </c>
      <c r="I389">
        <v>6</v>
      </c>
      <c r="J389">
        <v>54048</v>
      </c>
    </row>
    <row r="390" spans="1:10" x14ac:dyDescent="0.3">
      <c r="A390" t="s">
        <v>556</v>
      </c>
      <c r="B390" t="s">
        <v>142</v>
      </c>
      <c r="C390">
        <v>60</v>
      </c>
      <c r="D390" t="s">
        <v>17</v>
      </c>
      <c r="E390" t="s">
        <v>22</v>
      </c>
      <c r="F390" t="s">
        <v>19</v>
      </c>
      <c r="G390" s="1">
        <v>45858</v>
      </c>
      <c r="H390" s="1">
        <v>45866</v>
      </c>
      <c r="I390">
        <v>8</v>
      </c>
      <c r="J390">
        <v>55408</v>
      </c>
    </row>
    <row r="391" spans="1:10" x14ac:dyDescent="0.3">
      <c r="A391" t="s">
        <v>557</v>
      </c>
      <c r="B391" t="s">
        <v>259</v>
      </c>
      <c r="C391">
        <v>23</v>
      </c>
      <c r="D391" t="s">
        <v>12</v>
      </c>
      <c r="E391" t="s">
        <v>33</v>
      </c>
      <c r="F391" t="s">
        <v>62</v>
      </c>
      <c r="G391" s="1">
        <v>45829</v>
      </c>
      <c r="H391" s="1">
        <v>45841</v>
      </c>
      <c r="I391">
        <v>12</v>
      </c>
      <c r="J391">
        <v>59028</v>
      </c>
    </row>
    <row r="392" spans="1:10" x14ac:dyDescent="0.3">
      <c r="A392" t="s">
        <v>558</v>
      </c>
      <c r="B392" t="s">
        <v>74</v>
      </c>
      <c r="C392">
        <v>73</v>
      </c>
      <c r="D392" t="s">
        <v>12</v>
      </c>
      <c r="E392" t="s">
        <v>48</v>
      </c>
      <c r="F392" t="s">
        <v>62</v>
      </c>
      <c r="G392" s="1">
        <v>45750</v>
      </c>
      <c r="H392" s="1">
        <v>45762</v>
      </c>
      <c r="I392">
        <v>12</v>
      </c>
      <c r="J392">
        <v>103572</v>
      </c>
    </row>
    <row r="393" spans="1:10" x14ac:dyDescent="0.3">
      <c r="A393" t="s">
        <v>559</v>
      </c>
      <c r="B393" t="s">
        <v>96</v>
      </c>
      <c r="C393">
        <v>17</v>
      </c>
      <c r="D393" t="s">
        <v>12</v>
      </c>
      <c r="E393" t="s">
        <v>18</v>
      </c>
      <c r="F393" t="s">
        <v>62</v>
      </c>
      <c r="G393" s="1">
        <v>46004</v>
      </c>
      <c r="H393" s="1">
        <v>46019</v>
      </c>
      <c r="I393">
        <v>15</v>
      </c>
      <c r="J393">
        <v>79050</v>
      </c>
    </row>
    <row r="394" spans="1:10" x14ac:dyDescent="0.3">
      <c r="A394" t="s">
        <v>560</v>
      </c>
      <c r="B394" t="s">
        <v>375</v>
      </c>
      <c r="C394">
        <v>78</v>
      </c>
      <c r="D394" t="s">
        <v>17</v>
      </c>
      <c r="E394" t="s">
        <v>45</v>
      </c>
      <c r="F394" t="s">
        <v>27</v>
      </c>
      <c r="G394" s="1">
        <v>45880</v>
      </c>
      <c r="H394" s="1">
        <v>45882</v>
      </c>
      <c r="I394">
        <v>2</v>
      </c>
      <c r="J394">
        <v>12170</v>
      </c>
    </row>
    <row r="395" spans="1:10" x14ac:dyDescent="0.3">
      <c r="A395" t="s">
        <v>561</v>
      </c>
      <c r="B395" t="s">
        <v>29</v>
      </c>
      <c r="C395">
        <v>81</v>
      </c>
      <c r="D395" t="s">
        <v>12</v>
      </c>
      <c r="E395" t="s">
        <v>102</v>
      </c>
      <c r="F395" t="s">
        <v>19</v>
      </c>
      <c r="G395" s="1">
        <v>45800</v>
      </c>
      <c r="H395" s="1">
        <v>45809</v>
      </c>
      <c r="I395">
        <v>9</v>
      </c>
      <c r="J395">
        <v>53595</v>
      </c>
    </row>
    <row r="396" spans="1:10" x14ac:dyDescent="0.3">
      <c r="A396" t="s">
        <v>562</v>
      </c>
      <c r="B396" t="s">
        <v>44</v>
      </c>
      <c r="C396">
        <v>74</v>
      </c>
      <c r="D396" t="s">
        <v>12</v>
      </c>
      <c r="E396" t="s">
        <v>26</v>
      </c>
      <c r="F396" t="s">
        <v>34</v>
      </c>
      <c r="G396" s="1">
        <v>45803</v>
      </c>
      <c r="H396" s="1">
        <v>45813</v>
      </c>
      <c r="I396">
        <v>10</v>
      </c>
      <c r="J396">
        <v>50590</v>
      </c>
    </row>
    <row r="397" spans="1:10" x14ac:dyDescent="0.3">
      <c r="A397" t="s">
        <v>563</v>
      </c>
      <c r="B397" t="s">
        <v>137</v>
      </c>
      <c r="C397">
        <v>20</v>
      </c>
      <c r="D397" t="s">
        <v>12</v>
      </c>
      <c r="E397" t="s">
        <v>26</v>
      </c>
      <c r="F397" t="s">
        <v>42</v>
      </c>
      <c r="G397" s="1">
        <v>45918</v>
      </c>
      <c r="H397" s="1">
        <v>45919</v>
      </c>
      <c r="I397">
        <v>1</v>
      </c>
      <c r="J397">
        <v>10569</v>
      </c>
    </row>
    <row r="398" spans="1:10" x14ac:dyDescent="0.3">
      <c r="A398" t="s">
        <v>564</v>
      </c>
      <c r="B398" t="s">
        <v>464</v>
      </c>
      <c r="C398">
        <v>67</v>
      </c>
      <c r="D398" t="s">
        <v>17</v>
      </c>
      <c r="E398" t="s">
        <v>22</v>
      </c>
      <c r="F398" t="s">
        <v>34</v>
      </c>
      <c r="G398" s="1">
        <v>45723</v>
      </c>
      <c r="H398" s="1">
        <v>45734</v>
      </c>
      <c r="I398">
        <v>11</v>
      </c>
      <c r="J398">
        <v>71379</v>
      </c>
    </row>
    <row r="399" spans="1:10" x14ac:dyDescent="0.3">
      <c r="A399" t="s">
        <v>565</v>
      </c>
      <c r="B399" t="s">
        <v>303</v>
      </c>
      <c r="C399">
        <v>44</v>
      </c>
      <c r="D399" t="s">
        <v>12</v>
      </c>
      <c r="E399" t="s">
        <v>30</v>
      </c>
      <c r="F399" t="s">
        <v>23</v>
      </c>
      <c r="G399" s="1">
        <v>45775</v>
      </c>
      <c r="H399" s="1">
        <v>45790</v>
      </c>
      <c r="I399">
        <v>15</v>
      </c>
      <c r="J399">
        <v>179370</v>
      </c>
    </row>
    <row r="400" spans="1:10" x14ac:dyDescent="0.3">
      <c r="A400" t="s">
        <v>566</v>
      </c>
      <c r="B400" t="s">
        <v>366</v>
      </c>
      <c r="C400">
        <v>54</v>
      </c>
      <c r="D400" t="s">
        <v>17</v>
      </c>
      <c r="E400" t="s">
        <v>30</v>
      </c>
      <c r="F400" t="s">
        <v>34</v>
      </c>
      <c r="G400" s="1">
        <v>45855</v>
      </c>
      <c r="H400" s="1">
        <v>45870</v>
      </c>
      <c r="I400">
        <v>15</v>
      </c>
      <c r="J400">
        <v>143610</v>
      </c>
    </row>
    <row r="401" spans="1:10" x14ac:dyDescent="0.3">
      <c r="A401" t="s">
        <v>567</v>
      </c>
      <c r="B401" t="s">
        <v>156</v>
      </c>
      <c r="C401">
        <v>85</v>
      </c>
      <c r="D401" t="s">
        <v>12</v>
      </c>
      <c r="E401" t="s">
        <v>45</v>
      </c>
      <c r="F401" t="s">
        <v>19</v>
      </c>
      <c r="G401" s="1">
        <v>45824</v>
      </c>
      <c r="H401" s="1">
        <v>45839</v>
      </c>
      <c r="I401">
        <v>15</v>
      </c>
      <c r="J401">
        <v>145845</v>
      </c>
    </row>
    <row r="402" spans="1:10" x14ac:dyDescent="0.3">
      <c r="A402" t="s">
        <v>568</v>
      </c>
      <c r="B402" t="s">
        <v>484</v>
      </c>
      <c r="C402">
        <v>37</v>
      </c>
      <c r="D402" t="s">
        <v>17</v>
      </c>
      <c r="E402" t="s">
        <v>102</v>
      </c>
      <c r="F402" t="s">
        <v>14</v>
      </c>
      <c r="G402" s="1">
        <v>45950</v>
      </c>
      <c r="H402" s="1">
        <v>45959</v>
      </c>
      <c r="I402">
        <v>9</v>
      </c>
      <c r="J402">
        <v>72126</v>
      </c>
    </row>
    <row r="403" spans="1:10" x14ac:dyDescent="0.3">
      <c r="A403" t="s">
        <v>569</v>
      </c>
      <c r="B403" t="s">
        <v>411</v>
      </c>
      <c r="C403">
        <v>12</v>
      </c>
      <c r="D403" t="s">
        <v>17</v>
      </c>
      <c r="E403" t="s">
        <v>45</v>
      </c>
      <c r="F403" t="s">
        <v>62</v>
      </c>
      <c r="G403" s="1">
        <v>45964</v>
      </c>
      <c r="H403" s="1">
        <v>45966</v>
      </c>
      <c r="I403">
        <v>2</v>
      </c>
      <c r="J403">
        <v>12256</v>
      </c>
    </row>
    <row r="404" spans="1:10" x14ac:dyDescent="0.3">
      <c r="A404" t="s">
        <v>570</v>
      </c>
      <c r="B404" t="s">
        <v>114</v>
      </c>
      <c r="C404">
        <v>88</v>
      </c>
      <c r="D404" t="s">
        <v>12</v>
      </c>
      <c r="E404" t="s">
        <v>48</v>
      </c>
      <c r="F404" t="s">
        <v>19</v>
      </c>
      <c r="G404" s="1">
        <v>45689</v>
      </c>
      <c r="H404" s="1">
        <v>45696</v>
      </c>
      <c r="I404">
        <v>7</v>
      </c>
      <c r="J404">
        <v>61068</v>
      </c>
    </row>
    <row r="405" spans="1:10" x14ac:dyDescent="0.3">
      <c r="A405" t="s">
        <v>571</v>
      </c>
      <c r="B405" t="s">
        <v>303</v>
      </c>
      <c r="C405">
        <v>66</v>
      </c>
      <c r="D405" t="s">
        <v>12</v>
      </c>
      <c r="E405" t="s">
        <v>13</v>
      </c>
      <c r="F405" t="s">
        <v>14</v>
      </c>
      <c r="G405" s="1">
        <v>46009</v>
      </c>
      <c r="H405" s="1">
        <v>46019</v>
      </c>
      <c r="I405">
        <v>10</v>
      </c>
      <c r="J405">
        <v>89460</v>
      </c>
    </row>
    <row r="406" spans="1:10" x14ac:dyDescent="0.3">
      <c r="A406" t="s">
        <v>572</v>
      </c>
      <c r="B406" t="s">
        <v>361</v>
      </c>
      <c r="C406">
        <v>23</v>
      </c>
      <c r="D406" t="s">
        <v>17</v>
      </c>
      <c r="E406" t="s">
        <v>102</v>
      </c>
      <c r="F406" t="s">
        <v>34</v>
      </c>
      <c r="G406" s="1">
        <v>45743</v>
      </c>
      <c r="H406" s="1">
        <v>45744</v>
      </c>
      <c r="I406">
        <v>1</v>
      </c>
      <c r="J406">
        <v>5296</v>
      </c>
    </row>
    <row r="407" spans="1:10" x14ac:dyDescent="0.3">
      <c r="A407" t="s">
        <v>573</v>
      </c>
      <c r="B407" t="s">
        <v>118</v>
      </c>
      <c r="C407">
        <v>81</v>
      </c>
      <c r="D407" t="s">
        <v>12</v>
      </c>
      <c r="E407" t="s">
        <v>45</v>
      </c>
      <c r="F407" t="s">
        <v>23</v>
      </c>
      <c r="G407" s="1">
        <v>45869</v>
      </c>
      <c r="H407" s="1">
        <v>45881</v>
      </c>
      <c r="I407">
        <v>12</v>
      </c>
      <c r="J407">
        <v>140400</v>
      </c>
    </row>
    <row r="408" spans="1:10" x14ac:dyDescent="0.3">
      <c r="A408" t="s">
        <v>574</v>
      </c>
      <c r="B408" t="s">
        <v>275</v>
      </c>
      <c r="C408">
        <v>62</v>
      </c>
      <c r="D408" t="s">
        <v>17</v>
      </c>
      <c r="E408" t="s">
        <v>48</v>
      </c>
      <c r="F408" t="s">
        <v>62</v>
      </c>
      <c r="G408" s="1">
        <v>45977</v>
      </c>
      <c r="H408" s="1">
        <v>45991</v>
      </c>
      <c r="I408">
        <v>14</v>
      </c>
      <c r="J408">
        <v>119938</v>
      </c>
    </row>
    <row r="409" spans="1:10" x14ac:dyDescent="0.3">
      <c r="A409" t="s">
        <v>575</v>
      </c>
      <c r="B409" t="s">
        <v>199</v>
      </c>
      <c r="C409">
        <v>2</v>
      </c>
      <c r="D409" t="s">
        <v>17</v>
      </c>
      <c r="E409" t="s">
        <v>22</v>
      </c>
      <c r="F409" t="s">
        <v>62</v>
      </c>
      <c r="G409" s="1">
        <v>45936</v>
      </c>
      <c r="H409" s="1">
        <v>45947</v>
      </c>
      <c r="I409">
        <v>11</v>
      </c>
      <c r="J409">
        <v>70576</v>
      </c>
    </row>
    <row r="410" spans="1:10" x14ac:dyDescent="0.3">
      <c r="A410" t="s">
        <v>576</v>
      </c>
      <c r="B410" t="s">
        <v>89</v>
      </c>
      <c r="C410">
        <v>20</v>
      </c>
      <c r="D410" t="s">
        <v>12</v>
      </c>
      <c r="E410" t="s">
        <v>22</v>
      </c>
      <c r="F410" t="s">
        <v>27</v>
      </c>
      <c r="G410" s="1">
        <v>45714</v>
      </c>
      <c r="H410" s="1">
        <v>45717</v>
      </c>
      <c r="I410">
        <v>3</v>
      </c>
      <c r="J410">
        <v>30087</v>
      </c>
    </row>
    <row r="411" spans="1:10" x14ac:dyDescent="0.3">
      <c r="A411" t="s">
        <v>577</v>
      </c>
      <c r="B411" t="s">
        <v>341</v>
      </c>
      <c r="C411">
        <v>1</v>
      </c>
      <c r="D411" t="s">
        <v>17</v>
      </c>
      <c r="E411" t="s">
        <v>18</v>
      </c>
      <c r="F411" t="s">
        <v>19</v>
      </c>
      <c r="G411" s="1">
        <v>45675</v>
      </c>
      <c r="H411" s="1">
        <v>45687</v>
      </c>
      <c r="I411">
        <v>12</v>
      </c>
      <c r="J411">
        <v>138720</v>
      </c>
    </row>
    <row r="412" spans="1:10" x14ac:dyDescent="0.3">
      <c r="A412" t="s">
        <v>578</v>
      </c>
      <c r="B412" t="s">
        <v>579</v>
      </c>
      <c r="C412">
        <v>20</v>
      </c>
      <c r="D412" t="s">
        <v>17</v>
      </c>
      <c r="E412" t="s">
        <v>26</v>
      </c>
      <c r="F412" t="s">
        <v>19</v>
      </c>
      <c r="G412" s="1">
        <v>45878</v>
      </c>
      <c r="H412" s="1">
        <v>45893</v>
      </c>
      <c r="I412">
        <v>15</v>
      </c>
      <c r="J412">
        <v>80655</v>
      </c>
    </row>
    <row r="413" spans="1:10" x14ac:dyDescent="0.3">
      <c r="A413" t="s">
        <v>580</v>
      </c>
      <c r="B413" t="s">
        <v>264</v>
      </c>
      <c r="C413">
        <v>54</v>
      </c>
      <c r="D413" t="s">
        <v>17</v>
      </c>
      <c r="E413" t="s">
        <v>39</v>
      </c>
      <c r="F413" t="s">
        <v>27</v>
      </c>
      <c r="G413" s="1">
        <v>45837</v>
      </c>
      <c r="H413" s="1">
        <v>45849</v>
      </c>
      <c r="I413">
        <v>12</v>
      </c>
      <c r="J413">
        <v>104232</v>
      </c>
    </row>
    <row r="414" spans="1:10" x14ac:dyDescent="0.3">
      <c r="A414" t="s">
        <v>581</v>
      </c>
      <c r="B414" t="s">
        <v>187</v>
      </c>
      <c r="C414">
        <v>12</v>
      </c>
      <c r="D414" t="s">
        <v>12</v>
      </c>
      <c r="E414" t="s">
        <v>26</v>
      </c>
      <c r="F414" t="s">
        <v>14</v>
      </c>
      <c r="G414" s="1">
        <v>45752</v>
      </c>
      <c r="H414" s="1">
        <v>45762</v>
      </c>
      <c r="I414">
        <v>10</v>
      </c>
      <c r="J414">
        <v>97370</v>
      </c>
    </row>
    <row r="415" spans="1:10" x14ac:dyDescent="0.3">
      <c r="A415" t="s">
        <v>582</v>
      </c>
      <c r="B415" t="s">
        <v>21</v>
      </c>
      <c r="C415">
        <v>88</v>
      </c>
      <c r="D415" t="s">
        <v>12</v>
      </c>
      <c r="E415" t="s">
        <v>39</v>
      </c>
      <c r="F415" t="s">
        <v>14</v>
      </c>
      <c r="G415" s="1">
        <v>45661</v>
      </c>
      <c r="H415" s="1">
        <v>45667</v>
      </c>
      <c r="I415">
        <v>6</v>
      </c>
      <c r="J415">
        <v>26760</v>
      </c>
    </row>
    <row r="416" spans="1:10" x14ac:dyDescent="0.3">
      <c r="A416" t="s">
        <v>583</v>
      </c>
      <c r="B416" t="s">
        <v>431</v>
      </c>
      <c r="C416">
        <v>70</v>
      </c>
      <c r="D416" t="s">
        <v>12</v>
      </c>
      <c r="E416" t="s">
        <v>48</v>
      </c>
      <c r="F416" t="s">
        <v>42</v>
      </c>
      <c r="G416" s="1">
        <v>45848</v>
      </c>
      <c r="H416" s="1">
        <v>45863</v>
      </c>
      <c r="I416">
        <v>15</v>
      </c>
      <c r="J416">
        <v>100305</v>
      </c>
    </row>
    <row r="417" spans="1:10" x14ac:dyDescent="0.3">
      <c r="A417" t="s">
        <v>584</v>
      </c>
      <c r="B417" t="s">
        <v>343</v>
      </c>
      <c r="C417">
        <v>56</v>
      </c>
      <c r="D417" t="s">
        <v>17</v>
      </c>
      <c r="E417" t="s">
        <v>26</v>
      </c>
      <c r="F417" t="s">
        <v>62</v>
      </c>
      <c r="G417" s="1">
        <v>45787</v>
      </c>
      <c r="H417" s="1">
        <v>45790</v>
      </c>
      <c r="I417">
        <v>3</v>
      </c>
      <c r="J417">
        <v>12888</v>
      </c>
    </row>
    <row r="418" spans="1:10" x14ac:dyDescent="0.3">
      <c r="A418" t="s">
        <v>585</v>
      </c>
      <c r="B418" t="s">
        <v>86</v>
      </c>
      <c r="C418">
        <v>26</v>
      </c>
      <c r="D418" t="s">
        <v>17</v>
      </c>
      <c r="E418" t="s">
        <v>48</v>
      </c>
      <c r="F418" t="s">
        <v>19</v>
      </c>
      <c r="G418" s="1">
        <v>45759</v>
      </c>
      <c r="H418" s="1">
        <v>45768</v>
      </c>
      <c r="I418">
        <v>9</v>
      </c>
      <c r="J418">
        <v>84852</v>
      </c>
    </row>
    <row r="419" spans="1:10" x14ac:dyDescent="0.3">
      <c r="A419" t="s">
        <v>586</v>
      </c>
      <c r="B419" t="s">
        <v>481</v>
      </c>
      <c r="C419">
        <v>90</v>
      </c>
      <c r="D419" t="s">
        <v>12</v>
      </c>
      <c r="E419" t="s">
        <v>26</v>
      </c>
      <c r="F419" t="s">
        <v>14</v>
      </c>
      <c r="G419" s="1">
        <v>45720</v>
      </c>
      <c r="H419" s="1">
        <v>45734</v>
      </c>
      <c r="I419">
        <v>14</v>
      </c>
      <c r="J419">
        <v>115528</v>
      </c>
    </row>
    <row r="420" spans="1:10" x14ac:dyDescent="0.3">
      <c r="A420" t="s">
        <v>587</v>
      </c>
      <c r="B420" t="s">
        <v>178</v>
      </c>
      <c r="C420">
        <v>16</v>
      </c>
      <c r="D420" t="s">
        <v>12</v>
      </c>
      <c r="E420" t="s">
        <v>22</v>
      </c>
      <c r="F420" t="s">
        <v>23</v>
      </c>
      <c r="G420" s="1">
        <v>46013</v>
      </c>
      <c r="H420" s="1">
        <v>46020</v>
      </c>
      <c r="I420">
        <v>7</v>
      </c>
      <c r="J420">
        <v>48412</v>
      </c>
    </row>
    <row r="421" spans="1:10" x14ac:dyDescent="0.3">
      <c r="A421" t="s">
        <v>588</v>
      </c>
      <c r="B421" t="s">
        <v>86</v>
      </c>
      <c r="C421">
        <v>15</v>
      </c>
      <c r="D421" t="s">
        <v>17</v>
      </c>
      <c r="E421" t="s">
        <v>48</v>
      </c>
      <c r="F421" t="s">
        <v>14</v>
      </c>
      <c r="G421" s="1">
        <v>45800</v>
      </c>
      <c r="H421" s="1">
        <v>45813</v>
      </c>
      <c r="I421">
        <v>13</v>
      </c>
      <c r="J421">
        <v>118898</v>
      </c>
    </row>
    <row r="422" spans="1:10" x14ac:dyDescent="0.3">
      <c r="A422" t="s">
        <v>589</v>
      </c>
      <c r="B422" t="s">
        <v>343</v>
      </c>
      <c r="C422">
        <v>42</v>
      </c>
      <c r="D422" t="s">
        <v>17</v>
      </c>
      <c r="E422" t="s">
        <v>13</v>
      </c>
      <c r="F422" t="s">
        <v>19</v>
      </c>
      <c r="G422" s="1">
        <v>45783</v>
      </c>
      <c r="H422" s="1">
        <v>45795</v>
      </c>
      <c r="I422">
        <v>12</v>
      </c>
      <c r="J422">
        <v>130812</v>
      </c>
    </row>
    <row r="423" spans="1:10" x14ac:dyDescent="0.3">
      <c r="A423" t="s">
        <v>590</v>
      </c>
      <c r="B423" t="s">
        <v>330</v>
      </c>
      <c r="C423">
        <v>57</v>
      </c>
      <c r="D423" t="s">
        <v>12</v>
      </c>
      <c r="E423" t="s">
        <v>45</v>
      </c>
      <c r="F423" t="s">
        <v>34</v>
      </c>
      <c r="G423" s="1">
        <v>45810</v>
      </c>
      <c r="H423" s="1">
        <v>45819</v>
      </c>
      <c r="I423">
        <v>9</v>
      </c>
      <c r="J423">
        <v>47574</v>
      </c>
    </row>
    <row r="424" spans="1:10" x14ac:dyDescent="0.3">
      <c r="A424" t="s">
        <v>591</v>
      </c>
      <c r="B424" t="s">
        <v>109</v>
      </c>
      <c r="C424">
        <v>27</v>
      </c>
      <c r="D424" t="s">
        <v>12</v>
      </c>
      <c r="E424" t="s">
        <v>26</v>
      </c>
      <c r="F424" t="s">
        <v>59</v>
      </c>
      <c r="G424" s="1">
        <v>45861</v>
      </c>
      <c r="H424" s="1">
        <v>45871</v>
      </c>
      <c r="I424">
        <v>10</v>
      </c>
      <c r="J424">
        <v>120000</v>
      </c>
    </row>
    <row r="425" spans="1:10" x14ac:dyDescent="0.3">
      <c r="A425" t="s">
        <v>592</v>
      </c>
      <c r="B425" t="s">
        <v>116</v>
      </c>
      <c r="C425">
        <v>47</v>
      </c>
      <c r="D425" t="s">
        <v>17</v>
      </c>
      <c r="E425" t="s">
        <v>39</v>
      </c>
      <c r="F425" t="s">
        <v>23</v>
      </c>
      <c r="G425" s="1">
        <v>45992</v>
      </c>
      <c r="H425" s="1">
        <v>46004</v>
      </c>
      <c r="I425">
        <v>12</v>
      </c>
      <c r="J425">
        <v>138084</v>
      </c>
    </row>
    <row r="426" spans="1:10" x14ac:dyDescent="0.3">
      <c r="A426" t="s">
        <v>593</v>
      </c>
      <c r="B426" t="s">
        <v>100</v>
      </c>
      <c r="C426">
        <v>50</v>
      </c>
      <c r="D426" t="s">
        <v>17</v>
      </c>
      <c r="E426" t="s">
        <v>22</v>
      </c>
      <c r="F426" t="s">
        <v>23</v>
      </c>
      <c r="G426" s="1">
        <v>45732</v>
      </c>
      <c r="H426" s="1">
        <v>45736</v>
      </c>
      <c r="I426">
        <v>4</v>
      </c>
      <c r="J426">
        <v>22636</v>
      </c>
    </row>
    <row r="427" spans="1:10" x14ac:dyDescent="0.3">
      <c r="A427" t="s">
        <v>594</v>
      </c>
      <c r="B427" t="s">
        <v>127</v>
      </c>
      <c r="C427">
        <v>36</v>
      </c>
      <c r="D427" t="s">
        <v>17</v>
      </c>
      <c r="E427" t="s">
        <v>22</v>
      </c>
      <c r="F427" t="s">
        <v>14</v>
      </c>
      <c r="G427" s="1">
        <v>45841</v>
      </c>
      <c r="H427" s="1">
        <v>45849</v>
      </c>
      <c r="I427">
        <v>8</v>
      </c>
      <c r="J427">
        <v>57104</v>
      </c>
    </row>
    <row r="428" spans="1:10" x14ac:dyDescent="0.3">
      <c r="A428" t="s">
        <v>595</v>
      </c>
      <c r="B428" t="s">
        <v>283</v>
      </c>
      <c r="C428">
        <v>13</v>
      </c>
      <c r="D428" t="s">
        <v>17</v>
      </c>
      <c r="E428" t="s">
        <v>48</v>
      </c>
      <c r="F428" t="s">
        <v>27</v>
      </c>
      <c r="G428" s="1">
        <v>45679</v>
      </c>
      <c r="H428" s="1">
        <v>45691</v>
      </c>
      <c r="I428">
        <v>12</v>
      </c>
      <c r="J428">
        <v>128808</v>
      </c>
    </row>
    <row r="429" spans="1:10" x14ac:dyDescent="0.3">
      <c r="A429" t="s">
        <v>596</v>
      </c>
      <c r="B429" t="s">
        <v>461</v>
      </c>
      <c r="C429">
        <v>58</v>
      </c>
      <c r="D429" t="s">
        <v>17</v>
      </c>
      <c r="E429" t="s">
        <v>26</v>
      </c>
      <c r="F429" t="s">
        <v>34</v>
      </c>
      <c r="G429" s="1">
        <v>45720</v>
      </c>
      <c r="H429" s="1">
        <v>45728</v>
      </c>
      <c r="I429">
        <v>8</v>
      </c>
      <c r="J429">
        <v>70840</v>
      </c>
    </row>
    <row r="430" spans="1:10" x14ac:dyDescent="0.3">
      <c r="A430" t="s">
        <v>597</v>
      </c>
      <c r="B430" t="s">
        <v>72</v>
      </c>
      <c r="C430">
        <v>76</v>
      </c>
      <c r="D430" t="s">
        <v>12</v>
      </c>
      <c r="E430" t="s">
        <v>102</v>
      </c>
      <c r="F430" t="s">
        <v>27</v>
      </c>
      <c r="G430" s="1">
        <v>45673</v>
      </c>
      <c r="H430" s="1">
        <v>45678</v>
      </c>
      <c r="I430">
        <v>5</v>
      </c>
      <c r="J430">
        <v>50985</v>
      </c>
    </row>
    <row r="431" spans="1:10" x14ac:dyDescent="0.3">
      <c r="A431" t="s">
        <v>598</v>
      </c>
      <c r="B431" t="s">
        <v>130</v>
      </c>
      <c r="C431">
        <v>33</v>
      </c>
      <c r="D431" t="s">
        <v>12</v>
      </c>
      <c r="E431" t="s">
        <v>39</v>
      </c>
      <c r="F431" t="s">
        <v>23</v>
      </c>
      <c r="G431" s="1">
        <v>45969</v>
      </c>
      <c r="H431" s="1">
        <v>45971</v>
      </c>
      <c r="I431">
        <v>2</v>
      </c>
      <c r="J431">
        <v>10104</v>
      </c>
    </row>
    <row r="432" spans="1:10" x14ac:dyDescent="0.3">
      <c r="A432" t="s">
        <v>599</v>
      </c>
      <c r="B432" t="s">
        <v>168</v>
      </c>
      <c r="C432">
        <v>70</v>
      </c>
      <c r="D432" t="s">
        <v>17</v>
      </c>
      <c r="E432" t="s">
        <v>102</v>
      </c>
      <c r="F432" t="s">
        <v>42</v>
      </c>
      <c r="G432" s="1">
        <v>45879</v>
      </c>
      <c r="H432" s="1">
        <v>45883</v>
      </c>
      <c r="I432">
        <v>4</v>
      </c>
      <c r="J432">
        <v>40804</v>
      </c>
    </row>
    <row r="433" spans="1:10" x14ac:dyDescent="0.3">
      <c r="A433" t="s">
        <v>600</v>
      </c>
      <c r="B433" t="s">
        <v>241</v>
      </c>
      <c r="C433">
        <v>69</v>
      </c>
      <c r="D433" t="s">
        <v>17</v>
      </c>
      <c r="E433" t="s">
        <v>33</v>
      </c>
      <c r="F433" t="s">
        <v>14</v>
      </c>
      <c r="G433" s="1">
        <v>46017</v>
      </c>
      <c r="H433" s="1">
        <v>46023</v>
      </c>
      <c r="I433">
        <v>6</v>
      </c>
      <c r="J433">
        <v>56766</v>
      </c>
    </row>
    <row r="434" spans="1:10" x14ac:dyDescent="0.3">
      <c r="A434" t="s">
        <v>601</v>
      </c>
      <c r="B434" t="s">
        <v>602</v>
      </c>
      <c r="C434">
        <v>67</v>
      </c>
      <c r="D434" t="s">
        <v>17</v>
      </c>
      <c r="E434" t="s">
        <v>33</v>
      </c>
      <c r="F434" t="s">
        <v>27</v>
      </c>
      <c r="G434" s="1">
        <v>45790</v>
      </c>
      <c r="H434" s="1">
        <v>45793</v>
      </c>
      <c r="I434">
        <v>3</v>
      </c>
      <c r="J434">
        <v>26751</v>
      </c>
    </row>
    <row r="435" spans="1:10" x14ac:dyDescent="0.3">
      <c r="A435" t="s">
        <v>603</v>
      </c>
      <c r="B435" t="s">
        <v>390</v>
      </c>
      <c r="C435">
        <v>88</v>
      </c>
      <c r="D435" t="s">
        <v>12</v>
      </c>
      <c r="E435" t="s">
        <v>45</v>
      </c>
      <c r="F435" t="s">
        <v>19</v>
      </c>
      <c r="G435" s="1">
        <v>46019</v>
      </c>
      <c r="H435" s="1">
        <v>46029</v>
      </c>
      <c r="I435">
        <v>10</v>
      </c>
      <c r="J435">
        <v>53830</v>
      </c>
    </row>
    <row r="436" spans="1:10" x14ac:dyDescent="0.3">
      <c r="A436" t="s">
        <v>604</v>
      </c>
      <c r="B436" t="s">
        <v>189</v>
      </c>
      <c r="C436">
        <v>47</v>
      </c>
      <c r="D436" t="s">
        <v>12</v>
      </c>
      <c r="E436" t="s">
        <v>39</v>
      </c>
      <c r="F436" t="s">
        <v>19</v>
      </c>
      <c r="G436" s="1">
        <v>45769</v>
      </c>
      <c r="H436" s="1">
        <v>45776</v>
      </c>
      <c r="I436">
        <v>7</v>
      </c>
      <c r="J436">
        <v>32613</v>
      </c>
    </row>
    <row r="437" spans="1:10" x14ac:dyDescent="0.3">
      <c r="A437" t="s">
        <v>605</v>
      </c>
      <c r="B437" t="s">
        <v>455</v>
      </c>
      <c r="C437">
        <v>48</v>
      </c>
      <c r="D437" t="s">
        <v>17</v>
      </c>
      <c r="E437" t="s">
        <v>18</v>
      </c>
      <c r="F437" t="s">
        <v>59</v>
      </c>
      <c r="G437" s="1">
        <v>45965</v>
      </c>
      <c r="H437" s="1">
        <v>45971</v>
      </c>
      <c r="I437">
        <v>6</v>
      </c>
      <c r="J437">
        <v>53052</v>
      </c>
    </row>
    <row r="438" spans="1:10" x14ac:dyDescent="0.3">
      <c r="A438" t="s">
        <v>606</v>
      </c>
      <c r="B438" t="s">
        <v>426</v>
      </c>
      <c r="C438">
        <v>89</v>
      </c>
      <c r="D438" t="s">
        <v>17</v>
      </c>
      <c r="E438" t="s">
        <v>26</v>
      </c>
      <c r="F438" t="s">
        <v>19</v>
      </c>
      <c r="G438" s="1">
        <v>45892</v>
      </c>
      <c r="H438" s="1">
        <v>45906</v>
      </c>
      <c r="I438">
        <v>14</v>
      </c>
      <c r="J438">
        <v>64484</v>
      </c>
    </row>
    <row r="439" spans="1:10" x14ac:dyDescent="0.3">
      <c r="A439" t="s">
        <v>607</v>
      </c>
      <c r="B439" t="s">
        <v>142</v>
      </c>
      <c r="C439">
        <v>75</v>
      </c>
      <c r="D439" t="s">
        <v>12</v>
      </c>
      <c r="E439" t="s">
        <v>48</v>
      </c>
      <c r="F439" t="s">
        <v>14</v>
      </c>
      <c r="G439" s="1">
        <v>46009</v>
      </c>
      <c r="H439" s="1">
        <v>46024</v>
      </c>
      <c r="I439">
        <v>15</v>
      </c>
      <c r="J439">
        <v>110655</v>
      </c>
    </row>
    <row r="440" spans="1:10" x14ac:dyDescent="0.3">
      <c r="A440" t="s">
        <v>608</v>
      </c>
      <c r="B440" t="s">
        <v>116</v>
      </c>
      <c r="C440">
        <v>16</v>
      </c>
      <c r="D440" t="s">
        <v>12</v>
      </c>
      <c r="E440" t="s">
        <v>13</v>
      </c>
      <c r="F440" t="s">
        <v>23</v>
      </c>
      <c r="G440" s="1">
        <v>45796</v>
      </c>
      <c r="H440" s="1">
        <v>45802</v>
      </c>
      <c r="I440">
        <v>6</v>
      </c>
      <c r="J440">
        <v>57054</v>
      </c>
    </row>
    <row r="441" spans="1:10" x14ac:dyDescent="0.3">
      <c r="A441" t="s">
        <v>609</v>
      </c>
      <c r="B441" t="s">
        <v>112</v>
      </c>
      <c r="C441">
        <v>38</v>
      </c>
      <c r="D441" t="s">
        <v>17</v>
      </c>
      <c r="E441" t="s">
        <v>102</v>
      </c>
      <c r="F441" t="s">
        <v>34</v>
      </c>
      <c r="G441" s="1">
        <v>45804</v>
      </c>
      <c r="H441" s="1">
        <v>45816</v>
      </c>
      <c r="I441">
        <v>12</v>
      </c>
      <c r="J441">
        <v>136380</v>
      </c>
    </row>
    <row r="442" spans="1:10" x14ac:dyDescent="0.3">
      <c r="A442" t="s">
        <v>610</v>
      </c>
      <c r="B442" t="s">
        <v>82</v>
      </c>
      <c r="C442">
        <v>85</v>
      </c>
      <c r="D442" t="s">
        <v>17</v>
      </c>
      <c r="E442" t="s">
        <v>18</v>
      </c>
      <c r="F442" t="s">
        <v>14</v>
      </c>
      <c r="G442" s="1">
        <v>45711</v>
      </c>
      <c r="H442" s="1">
        <v>45718</v>
      </c>
      <c r="I442">
        <v>7</v>
      </c>
      <c r="J442">
        <v>69832</v>
      </c>
    </row>
    <row r="443" spans="1:10" x14ac:dyDescent="0.3">
      <c r="A443" t="s">
        <v>611</v>
      </c>
      <c r="B443" t="s">
        <v>303</v>
      </c>
      <c r="C443">
        <v>21</v>
      </c>
      <c r="D443" t="s">
        <v>12</v>
      </c>
      <c r="E443" t="s">
        <v>13</v>
      </c>
      <c r="F443" t="s">
        <v>23</v>
      </c>
      <c r="G443" s="1">
        <v>45919</v>
      </c>
      <c r="H443" s="1">
        <v>45927</v>
      </c>
      <c r="I443">
        <v>8</v>
      </c>
      <c r="J443">
        <v>42944</v>
      </c>
    </row>
    <row r="444" spans="1:10" x14ac:dyDescent="0.3">
      <c r="A444" t="s">
        <v>612</v>
      </c>
      <c r="B444" t="s">
        <v>56</v>
      </c>
      <c r="C444">
        <v>59</v>
      </c>
      <c r="D444" t="s">
        <v>17</v>
      </c>
      <c r="E444" t="s">
        <v>39</v>
      </c>
      <c r="F444" t="s">
        <v>34</v>
      </c>
      <c r="G444" s="1">
        <v>45687</v>
      </c>
      <c r="H444" s="1">
        <v>45702</v>
      </c>
      <c r="I444">
        <v>15</v>
      </c>
      <c r="J444">
        <v>161520</v>
      </c>
    </row>
    <row r="445" spans="1:10" x14ac:dyDescent="0.3">
      <c r="A445" t="s">
        <v>613</v>
      </c>
      <c r="B445" t="s">
        <v>100</v>
      </c>
      <c r="C445">
        <v>15</v>
      </c>
      <c r="D445" t="s">
        <v>17</v>
      </c>
      <c r="E445" t="s">
        <v>26</v>
      </c>
      <c r="F445" t="s">
        <v>14</v>
      </c>
      <c r="G445" s="1">
        <v>45845</v>
      </c>
      <c r="H445" s="1">
        <v>45857</v>
      </c>
      <c r="I445">
        <v>12</v>
      </c>
      <c r="J445">
        <v>73080</v>
      </c>
    </row>
    <row r="446" spans="1:10" x14ac:dyDescent="0.3">
      <c r="A446" t="s">
        <v>614</v>
      </c>
      <c r="B446" t="s">
        <v>615</v>
      </c>
      <c r="C446">
        <v>36</v>
      </c>
      <c r="D446" t="s">
        <v>12</v>
      </c>
      <c r="E446" t="s">
        <v>13</v>
      </c>
      <c r="F446" t="s">
        <v>27</v>
      </c>
      <c r="G446" s="1">
        <v>45796</v>
      </c>
      <c r="H446" s="1">
        <v>45797</v>
      </c>
      <c r="I446">
        <v>1</v>
      </c>
      <c r="J446">
        <v>5624</v>
      </c>
    </row>
    <row r="447" spans="1:10" x14ac:dyDescent="0.3">
      <c r="A447" t="s">
        <v>616</v>
      </c>
      <c r="B447" t="s">
        <v>579</v>
      </c>
      <c r="C447">
        <v>2</v>
      </c>
      <c r="D447" t="s">
        <v>12</v>
      </c>
      <c r="E447" t="s">
        <v>39</v>
      </c>
      <c r="F447" t="s">
        <v>34</v>
      </c>
      <c r="G447" s="1">
        <v>45714</v>
      </c>
      <c r="H447" s="1">
        <v>45715</v>
      </c>
      <c r="I447">
        <v>1</v>
      </c>
      <c r="J447">
        <v>7215</v>
      </c>
    </row>
    <row r="448" spans="1:10" x14ac:dyDescent="0.3">
      <c r="A448" t="s">
        <v>617</v>
      </c>
      <c r="B448" t="s">
        <v>345</v>
      </c>
      <c r="C448">
        <v>51</v>
      </c>
      <c r="D448" t="s">
        <v>17</v>
      </c>
      <c r="E448" t="s">
        <v>22</v>
      </c>
      <c r="F448" t="s">
        <v>42</v>
      </c>
      <c r="G448" s="1">
        <v>45823</v>
      </c>
      <c r="H448" s="1">
        <v>45836</v>
      </c>
      <c r="I448">
        <v>13</v>
      </c>
      <c r="J448">
        <v>133939</v>
      </c>
    </row>
    <row r="449" spans="1:10" x14ac:dyDescent="0.3">
      <c r="A449" t="s">
        <v>618</v>
      </c>
      <c r="B449" t="s">
        <v>50</v>
      </c>
      <c r="C449">
        <v>19</v>
      </c>
      <c r="D449" t="s">
        <v>12</v>
      </c>
      <c r="E449" t="s">
        <v>48</v>
      </c>
      <c r="F449" t="s">
        <v>42</v>
      </c>
      <c r="G449" s="1">
        <v>45753</v>
      </c>
      <c r="H449" s="1">
        <v>45768</v>
      </c>
      <c r="I449">
        <v>15</v>
      </c>
      <c r="J449">
        <v>148215</v>
      </c>
    </row>
    <row r="450" spans="1:10" x14ac:dyDescent="0.3">
      <c r="A450" t="s">
        <v>619</v>
      </c>
      <c r="B450" t="s">
        <v>109</v>
      </c>
      <c r="C450">
        <v>43</v>
      </c>
      <c r="D450" t="s">
        <v>17</v>
      </c>
      <c r="E450" t="s">
        <v>45</v>
      </c>
      <c r="F450" t="s">
        <v>59</v>
      </c>
      <c r="G450" s="1">
        <v>45973</v>
      </c>
      <c r="H450" s="1">
        <v>45979</v>
      </c>
      <c r="I450">
        <v>6</v>
      </c>
      <c r="J450">
        <v>65766</v>
      </c>
    </row>
    <row r="451" spans="1:10" x14ac:dyDescent="0.3">
      <c r="A451" t="s">
        <v>620</v>
      </c>
      <c r="B451" t="s">
        <v>550</v>
      </c>
      <c r="C451">
        <v>69</v>
      </c>
      <c r="D451" t="s">
        <v>12</v>
      </c>
      <c r="E451" t="s">
        <v>18</v>
      </c>
      <c r="F451" t="s">
        <v>62</v>
      </c>
      <c r="G451" s="1">
        <v>45995</v>
      </c>
      <c r="H451" s="1">
        <v>46006</v>
      </c>
      <c r="I451">
        <v>11</v>
      </c>
      <c r="J451">
        <v>81433</v>
      </c>
    </row>
    <row r="452" spans="1:10" x14ac:dyDescent="0.3">
      <c r="A452" t="s">
        <v>621</v>
      </c>
      <c r="B452" t="s">
        <v>394</v>
      </c>
      <c r="C452">
        <v>25</v>
      </c>
      <c r="D452" t="s">
        <v>17</v>
      </c>
      <c r="E452" t="s">
        <v>13</v>
      </c>
      <c r="F452" t="s">
        <v>62</v>
      </c>
      <c r="G452" s="1">
        <v>45713</v>
      </c>
      <c r="H452" s="1">
        <v>45724</v>
      </c>
      <c r="I452">
        <v>11</v>
      </c>
      <c r="J452">
        <v>66264</v>
      </c>
    </row>
    <row r="453" spans="1:10" x14ac:dyDescent="0.3">
      <c r="A453" t="s">
        <v>622</v>
      </c>
      <c r="B453" t="s">
        <v>72</v>
      </c>
      <c r="C453">
        <v>9</v>
      </c>
      <c r="D453" t="s">
        <v>12</v>
      </c>
      <c r="E453" t="s">
        <v>22</v>
      </c>
      <c r="F453" t="s">
        <v>62</v>
      </c>
      <c r="G453" s="1">
        <v>45819</v>
      </c>
      <c r="H453" s="1">
        <v>45830</v>
      </c>
      <c r="I453">
        <v>11</v>
      </c>
      <c r="J453">
        <v>109274</v>
      </c>
    </row>
    <row r="454" spans="1:10" x14ac:dyDescent="0.3">
      <c r="A454" t="s">
        <v>623</v>
      </c>
      <c r="B454" t="s">
        <v>86</v>
      </c>
      <c r="C454">
        <v>6</v>
      </c>
      <c r="D454" t="s">
        <v>12</v>
      </c>
      <c r="E454" t="s">
        <v>30</v>
      </c>
      <c r="F454" t="s">
        <v>59</v>
      </c>
      <c r="G454" s="1">
        <v>45790</v>
      </c>
      <c r="H454" s="1">
        <v>45804</v>
      </c>
      <c r="I454">
        <v>14</v>
      </c>
      <c r="J454">
        <v>57666</v>
      </c>
    </row>
    <row r="455" spans="1:10" x14ac:dyDescent="0.3">
      <c r="A455" t="s">
        <v>624</v>
      </c>
      <c r="B455" t="s">
        <v>86</v>
      </c>
      <c r="C455">
        <v>40</v>
      </c>
      <c r="D455" t="s">
        <v>17</v>
      </c>
      <c r="E455" t="s">
        <v>26</v>
      </c>
      <c r="F455" t="s">
        <v>59</v>
      </c>
      <c r="G455" s="1">
        <v>45879</v>
      </c>
      <c r="H455" s="1">
        <v>45892</v>
      </c>
      <c r="I455">
        <v>13</v>
      </c>
      <c r="J455">
        <v>143923</v>
      </c>
    </row>
    <row r="456" spans="1:10" x14ac:dyDescent="0.3">
      <c r="A456" t="s">
        <v>625</v>
      </c>
      <c r="B456" t="s">
        <v>626</v>
      </c>
      <c r="C456">
        <v>6</v>
      </c>
      <c r="D456" t="s">
        <v>12</v>
      </c>
      <c r="E456" t="s">
        <v>48</v>
      </c>
      <c r="F456" t="s">
        <v>14</v>
      </c>
      <c r="G456" s="1">
        <v>46010</v>
      </c>
      <c r="H456" s="1">
        <v>46013</v>
      </c>
      <c r="I456">
        <v>3</v>
      </c>
      <c r="J456">
        <v>28863</v>
      </c>
    </row>
    <row r="457" spans="1:10" x14ac:dyDescent="0.3">
      <c r="A457" t="s">
        <v>627</v>
      </c>
      <c r="B457" t="s">
        <v>41</v>
      </c>
      <c r="C457">
        <v>2</v>
      </c>
      <c r="D457" t="s">
        <v>12</v>
      </c>
      <c r="E457" t="s">
        <v>45</v>
      </c>
      <c r="F457" t="s">
        <v>59</v>
      </c>
      <c r="G457" s="1">
        <v>45758</v>
      </c>
      <c r="H457" s="1">
        <v>45766</v>
      </c>
      <c r="I457">
        <v>8</v>
      </c>
      <c r="J457">
        <v>71560</v>
      </c>
    </row>
    <row r="458" spans="1:10" x14ac:dyDescent="0.3">
      <c r="A458" t="s">
        <v>628</v>
      </c>
      <c r="B458" t="s">
        <v>78</v>
      </c>
      <c r="C458">
        <v>75</v>
      </c>
      <c r="D458" t="s">
        <v>12</v>
      </c>
      <c r="E458" t="s">
        <v>45</v>
      </c>
      <c r="F458" t="s">
        <v>62</v>
      </c>
      <c r="G458" s="1">
        <v>45735</v>
      </c>
      <c r="H458" s="1">
        <v>45749</v>
      </c>
      <c r="I458">
        <v>14</v>
      </c>
      <c r="J458">
        <v>65996</v>
      </c>
    </row>
    <row r="459" spans="1:10" x14ac:dyDescent="0.3">
      <c r="A459" t="s">
        <v>629</v>
      </c>
      <c r="B459" t="s">
        <v>118</v>
      </c>
      <c r="C459">
        <v>64</v>
      </c>
      <c r="D459" t="s">
        <v>12</v>
      </c>
      <c r="E459" t="s">
        <v>39</v>
      </c>
      <c r="F459" t="s">
        <v>27</v>
      </c>
      <c r="G459" s="1">
        <v>45823</v>
      </c>
      <c r="H459" s="1">
        <v>45827</v>
      </c>
      <c r="I459">
        <v>4</v>
      </c>
      <c r="J459">
        <v>26316</v>
      </c>
    </row>
    <row r="460" spans="1:10" x14ac:dyDescent="0.3">
      <c r="A460" t="s">
        <v>630</v>
      </c>
      <c r="B460" t="s">
        <v>238</v>
      </c>
      <c r="C460">
        <v>86</v>
      </c>
      <c r="D460" t="s">
        <v>17</v>
      </c>
      <c r="E460" t="s">
        <v>39</v>
      </c>
      <c r="F460" t="s">
        <v>34</v>
      </c>
      <c r="G460" s="1">
        <v>45937</v>
      </c>
      <c r="H460" s="1">
        <v>45944</v>
      </c>
      <c r="I460">
        <v>7</v>
      </c>
      <c r="J460">
        <v>67620</v>
      </c>
    </row>
    <row r="461" spans="1:10" x14ac:dyDescent="0.3">
      <c r="A461" t="s">
        <v>631</v>
      </c>
      <c r="B461" t="s">
        <v>191</v>
      </c>
      <c r="C461">
        <v>27</v>
      </c>
      <c r="D461" t="s">
        <v>12</v>
      </c>
      <c r="E461" t="s">
        <v>13</v>
      </c>
      <c r="F461" t="s">
        <v>23</v>
      </c>
      <c r="G461" s="1">
        <v>45963</v>
      </c>
      <c r="H461" s="1">
        <v>45967</v>
      </c>
      <c r="I461">
        <v>4</v>
      </c>
      <c r="J461">
        <v>28984</v>
      </c>
    </row>
    <row r="462" spans="1:10" x14ac:dyDescent="0.3">
      <c r="A462" t="s">
        <v>632</v>
      </c>
      <c r="B462" t="s">
        <v>394</v>
      </c>
      <c r="C462">
        <v>47</v>
      </c>
      <c r="D462" t="s">
        <v>12</v>
      </c>
      <c r="E462" t="s">
        <v>13</v>
      </c>
      <c r="F462" t="s">
        <v>62</v>
      </c>
      <c r="G462" s="1">
        <v>45849</v>
      </c>
      <c r="H462" s="1">
        <v>45854</v>
      </c>
      <c r="I462">
        <v>5</v>
      </c>
      <c r="J462">
        <v>25390</v>
      </c>
    </row>
    <row r="463" spans="1:10" x14ac:dyDescent="0.3">
      <c r="A463" t="s">
        <v>633</v>
      </c>
      <c r="B463" t="s">
        <v>58</v>
      </c>
      <c r="C463">
        <v>72</v>
      </c>
      <c r="D463" t="s">
        <v>12</v>
      </c>
      <c r="E463" t="s">
        <v>26</v>
      </c>
      <c r="F463" t="s">
        <v>34</v>
      </c>
      <c r="G463" s="1">
        <v>45959</v>
      </c>
      <c r="H463" s="1">
        <v>45961</v>
      </c>
      <c r="I463">
        <v>2</v>
      </c>
      <c r="J463">
        <v>17000</v>
      </c>
    </row>
    <row r="464" spans="1:10" x14ac:dyDescent="0.3">
      <c r="A464" t="s">
        <v>634</v>
      </c>
      <c r="B464" t="s">
        <v>322</v>
      </c>
      <c r="C464">
        <v>9</v>
      </c>
      <c r="D464" t="s">
        <v>17</v>
      </c>
      <c r="E464" t="s">
        <v>45</v>
      </c>
      <c r="F464" t="s">
        <v>27</v>
      </c>
      <c r="G464" s="1">
        <v>45894</v>
      </c>
      <c r="H464" s="1">
        <v>45896</v>
      </c>
      <c r="I464">
        <v>2</v>
      </c>
      <c r="J464">
        <v>10030</v>
      </c>
    </row>
    <row r="465" spans="1:10" x14ac:dyDescent="0.3">
      <c r="A465" t="s">
        <v>635</v>
      </c>
      <c r="B465" t="s">
        <v>98</v>
      </c>
      <c r="C465">
        <v>23</v>
      </c>
      <c r="D465" t="s">
        <v>17</v>
      </c>
      <c r="E465" t="s">
        <v>33</v>
      </c>
      <c r="F465" t="s">
        <v>59</v>
      </c>
      <c r="G465" s="1">
        <v>45726</v>
      </c>
      <c r="H465" s="1">
        <v>45730</v>
      </c>
      <c r="I465">
        <v>4</v>
      </c>
      <c r="J465">
        <v>21420</v>
      </c>
    </row>
    <row r="466" spans="1:10" x14ac:dyDescent="0.3">
      <c r="A466" t="s">
        <v>636</v>
      </c>
      <c r="B466" t="s">
        <v>127</v>
      </c>
      <c r="C466">
        <v>76</v>
      </c>
      <c r="D466" t="s">
        <v>17</v>
      </c>
      <c r="E466" t="s">
        <v>30</v>
      </c>
      <c r="F466" t="s">
        <v>59</v>
      </c>
      <c r="G466" s="1">
        <v>45977</v>
      </c>
      <c r="H466" s="1">
        <v>45984</v>
      </c>
      <c r="I466">
        <v>7</v>
      </c>
      <c r="J466">
        <v>45899</v>
      </c>
    </row>
    <row r="467" spans="1:10" x14ac:dyDescent="0.3">
      <c r="A467" t="s">
        <v>637</v>
      </c>
      <c r="B467" t="s">
        <v>50</v>
      </c>
      <c r="C467">
        <v>27</v>
      </c>
      <c r="D467" t="s">
        <v>12</v>
      </c>
      <c r="E467" t="s">
        <v>45</v>
      </c>
      <c r="F467" t="s">
        <v>23</v>
      </c>
      <c r="G467" s="1">
        <v>45680</v>
      </c>
      <c r="H467" s="1">
        <v>45690</v>
      </c>
      <c r="I467">
        <v>10</v>
      </c>
      <c r="J467">
        <v>92630</v>
      </c>
    </row>
    <row r="468" spans="1:10" x14ac:dyDescent="0.3">
      <c r="A468" t="s">
        <v>638</v>
      </c>
      <c r="B468" t="s">
        <v>579</v>
      </c>
      <c r="C468">
        <v>55</v>
      </c>
      <c r="D468" t="s">
        <v>17</v>
      </c>
      <c r="E468" t="s">
        <v>102</v>
      </c>
      <c r="F468" t="s">
        <v>59</v>
      </c>
      <c r="G468" s="1">
        <v>45746</v>
      </c>
      <c r="H468" s="1">
        <v>45755</v>
      </c>
      <c r="I468">
        <v>9</v>
      </c>
      <c r="J468">
        <v>74151</v>
      </c>
    </row>
    <row r="469" spans="1:10" x14ac:dyDescent="0.3">
      <c r="A469" t="s">
        <v>639</v>
      </c>
      <c r="B469" t="s">
        <v>100</v>
      </c>
      <c r="C469">
        <v>73</v>
      </c>
      <c r="D469" t="s">
        <v>12</v>
      </c>
      <c r="E469" t="s">
        <v>22</v>
      </c>
      <c r="F469" t="s">
        <v>23</v>
      </c>
      <c r="G469" s="1">
        <v>45752</v>
      </c>
      <c r="H469" s="1">
        <v>45766</v>
      </c>
      <c r="I469">
        <v>14</v>
      </c>
      <c r="J469">
        <v>57064</v>
      </c>
    </row>
    <row r="470" spans="1:10" x14ac:dyDescent="0.3">
      <c r="A470" t="s">
        <v>640</v>
      </c>
      <c r="B470" t="s">
        <v>455</v>
      </c>
      <c r="C470">
        <v>49</v>
      </c>
      <c r="D470" t="s">
        <v>17</v>
      </c>
      <c r="E470" t="s">
        <v>33</v>
      </c>
      <c r="F470" t="s">
        <v>62</v>
      </c>
      <c r="G470" s="1">
        <v>45925</v>
      </c>
      <c r="H470" s="1">
        <v>45935</v>
      </c>
      <c r="I470">
        <v>10</v>
      </c>
      <c r="J470">
        <v>105610</v>
      </c>
    </row>
    <row r="471" spans="1:10" x14ac:dyDescent="0.3">
      <c r="A471" t="s">
        <v>641</v>
      </c>
      <c r="B471" t="s">
        <v>130</v>
      </c>
      <c r="C471">
        <v>36</v>
      </c>
      <c r="D471" t="s">
        <v>12</v>
      </c>
      <c r="E471" t="s">
        <v>26</v>
      </c>
      <c r="F471" t="s">
        <v>62</v>
      </c>
      <c r="G471" s="1">
        <v>45882</v>
      </c>
      <c r="H471" s="1">
        <v>45892</v>
      </c>
      <c r="I471">
        <v>10</v>
      </c>
      <c r="J471">
        <v>73210</v>
      </c>
    </row>
    <row r="472" spans="1:10" x14ac:dyDescent="0.3">
      <c r="A472" t="s">
        <v>642</v>
      </c>
      <c r="B472" t="s">
        <v>209</v>
      </c>
      <c r="C472">
        <v>19</v>
      </c>
      <c r="D472" t="s">
        <v>17</v>
      </c>
      <c r="E472" t="s">
        <v>26</v>
      </c>
      <c r="F472" t="s">
        <v>62</v>
      </c>
      <c r="G472" s="1">
        <v>45961</v>
      </c>
      <c r="H472" s="1">
        <v>45963</v>
      </c>
      <c r="I472">
        <v>2</v>
      </c>
      <c r="J472">
        <v>13854</v>
      </c>
    </row>
    <row r="473" spans="1:10" x14ac:dyDescent="0.3">
      <c r="A473" t="s">
        <v>643</v>
      </c>
      <c r="B473" t="s">
        <v>201</v>
      </c>
      <c r="C473">
        <v>16</v>
      </c>
      <c r="D473" t="s">
        <v>12</v>
      </c>
      <c r="E473" t="s">
        <v>48</v>
      </c>
      <c r="F473" t="s">
        <v>23</v>
      </c>
      <c r="G473" s="1">
        <v>45671</v>
      </c>
      <c r="H473" s="1">
        <v>45677</v>
      </c>
      <c r="I473">
        <v>6</v>
      </c>
      <c r="J473">
        <v>31194</v>
      </c>
    </row>
    <row r="474" spans="1:10" x14ac:dyDescent="0.3">
      <c r="A474" t="s">
        <v>644</v>
      </c>
      <c r="B474" t="s">
        <v>203</v>
      </c>
      <c r="C474">
        <v>43</v>
      </c>
      <c r="D474" t="s">
        <v>17</v>
      </c>
      <c r="E474" t="s">
        <v>26</v>
      </c>
      <c r="F474" t="s">
        <v>14</v>
      </c>
      <c r="G474" s="1">
        <v>45776</v>
      </c>
      <c r="H474" s="1">
        <v>45777</v>
      </c>
      <c r="I474">
        <v>1</v>
      </c>
      <c r="J474">
        <v>8242</v>
      </c>
    </row>
    <row r="475" spans="1:10" x14ac:dyDescent="0.3">
      <c r="A475" t="s">
        <v>645</v>
      </c>
      <c r="B475" t="s">
        <v>275</v>
      </c>
      <c r="C475">
        <v>5</v>
      </c>
      <c r="D475" t="s">
        <v>17</v>
      </c>
      <c r="E475" t="s">
        <v>26</v>
      </c>
      <c r="F475" t="s">
        <v>42</v>
      </c>
      <c r="G475" s="1">
        <v>45888</v>
      </c>
      <c r="H475" s="1">
        <v>45897</v>
      </c>
      <c r="I475">
        <v>9</v>
      </c>
      <c r="J475">
        <v>86616</v>
      </c>
    </row>
    <row r="476" spans="1:10" x14ac:dyDescent="0.3">
      <c r="A476" t="s">
        <v>646</v>
      </c>
      <c r="B476" t="s">
        <v>435</v>
      </c>
      <c r="C476">
        <v>66</v>
      </c>
      <c r="D476" t="s">
        <v>12</v>
      </c>
      <c r="E476" t="s">
        <v>13</v>
      </c>
      <c r="F476" t="s">
        <v>19</v>
      </c>
      <c r="G476" s="1">
        <v>45936</v>
      </c>
      <c r="H476" s="1">
        <v>45942</v>
      </c>
      <c r="I476">
        <v>6</v>
      </c>
      <c r="J476">
        <v>35304</v>
      </c>
    </row>
    <row r="477" spans="1:10" x14ac:dyDescent="0.3">
      <c r="A477" t="s">
        <v>647</v>
      </c>
      <c r="B477" t="s">
        <v>64</v>
      </c>
      <c r="C477">
        <v>42</v>
      </c>
      <c r="D477" t="s">
        <v>17</v>
      </c>
      <c r="E477" t="s">
        <v>18</v>
      </c>
      <c r="F477" t="s">
        <v>62</v>
      </c>
      <c r="G477" s="1">
        <v>45992</v>
      </c>
      <c r="H477" s="1">
        <v>45997</v>
      </c>
      <c r="I477">
        <v>5</v>
      </c>
      <c r="J477">
        <v>35275</v>
      </c>
    </row>
    <row r="478" spans="1:10" x14ac:dyDescent="0.3">
      <c r="A478" t="s">
        <v>648</v>
      </c>
      <c r="B478" t="s">
        <v>132</v>
      </c>
      <c r="C478">
        <v>16</v>
      </c>
      <c r="D478" t="s">
        <v>17</v>
      </c>
      <c r="E478" t="s">
        <v>18</v>
      </c>
      <c r="F478" t="s">
        <v>23</v>
      </c>
      <c r="G478" s="1">
        <v>45894</v>
      </c>
      <c r="H478" s="1">
        <v>45903</v>
      </c>
      <c r="I478">
        <v>9</v>
      </c>
      <c r="J478">
        <v>92979</v>
      </c>
    </row>
    <row r="479" spans="1:10" x14ac:dyDescent="0.3">
      <c r="A479" t="s">
        <v>649</v>
      </c>
      <c r="B479" t="s">
        <v>76</v>
      </c>
      <c r="C479">
        <v>75</v>
      </c>
      <c r="D479" t="s">
        <v>17</v>
      </c>
      <c r="E479" t="s">
        <v>18</v>
      </c>
      <c r="F479" t="s">
        <v>27</v>
      </c>
      <c r="G479" s="1">
        <v>46014</v>
      </c>
      <c r="H479" s="1">
        <v>46025</v>
      </c>
      <c r="I479">
        <v>11</v>
      </c>
      <c r="J479">
        <v>77704</v>
      </c>
    </row>
    <row r="480" spans="1:10" x14ac:dyDescent="0.3">
      <c r="A480" t="s">
        <v>650</v>
      </c>
      <c r="B480" t="s">
        <v>76</v>
      </c>
      <c r="C480">
        <v>9</v>
      </c>
      <c r="D480" t="s">
        <v>17</v>
      </c>
      <c r="E480" t="s">
        <v>13</v>
      </c>
      <c r="F480" t="s">
        <v>34</v>
      </c>
      <c r="G480" s="1">
        <v>45687</v>
      </c>
      <c r="H480" s="1">
        <v>45691</v>
      </c>
      <c r="I480">
        <v>4</v>
      </c>
      <c r="J480">
        <v>38200</v>
      </c>
    </row>
    <row r="481" spans="1:10" x14ac:dyDescent="0.3">
      <c r="A481" t="s">
        <v>651</v>
      </c>
      <c r="B481" t="s">
        <v>54</v>
      </c>
      <c r="C481">
        <v>22</v>
      </c>
      <c r="D481" t="s">
        <v>17</v>
      </c>
      <c r="E481" t="s">
        <v>33</v>
      </c>
      <c r="F481" t="s">
        <v>34</v>
      </c>
      <c r="G481" s="1">
        <v>45949</v>
      </c>
      <c r="H481" s="1">
        <v>45963</v>
      </c>
      <c r="I481">
        <v>14</v>
      </c>
      <c r="J481">
        <v>70168</v>
      </c>
    </row>
    <row r="482" spans="1:10" x14ac:dyDescent="0.3">
      <c r="A482" t="s">
        <v>652</v>
      </c>
      <c r="B482" t="s">
        <v>47</v>
      </c>
      <c r="C482">
        <v>51</v>
      </c>
      <c r="D482" t="s">
        <v>17</v>
      </c>
      <c r="E482" t="s">
        <v>39</v>
      </c>
      <c r="F482" t="s">
        <v>14</v>
      </c>
      <c r="G482" s="1">
        <v>45729</v>
      </c>
      <c r="H482" s="1">
        <v>45734</v>
      </c>
      <c r="I482">
        <v>5</v>
      </c>
      <c r="J482">
        <v>29285</v>
      </c>
    </row>
    <row r="483" spans="1:10" x14ac:dyDescent="0.3">
      <c r="A483" t="s">
        <v>653</v>
      </c>
      <c r="B483" t="s">
        <v>241</v>
      </c>
      <c r="C483">
        <v>67</v>
      </c>
      <c r="D483" t="s">
        <v>17</v>
      </c>
      <c r="E483" t="s">
        <v>45</v>
      </c>
      <c r="F483" t="s">
        <v>19</v>
      </c>
      <c r="G483" s="1">
        <v>46022</v>
      </c>
      <c r="H483" s="1">
        <v>46037</v>
      </c>
      <c r="I483">
        <v>15</v>
      </c>
      <c r="J483">
        <v>139725</v>
      </c>
    </row>
    <row r="484" spans="1:10" x14ac:dyDescent="0.3">
      <c r="A484" t="s">
        <v>654</v>
      </c>
      <c r="B484" t="s">
        <v>66</v>
      </c>
      <c r="C484">
        <v>57</v>
      </c>
      <c r="D484" t="s">
        <v>17</v>
      </c>
      <c r="E484" t="s">
        <v>45</v>
      </c>
      <c r="F484" t="s">
        <v>42</v>
      </c>
      <c r="G484" s="1">
        <v>45684</v>
      </c>
      <c r="H484" s="1">
        <v>45688</v>
      </c>
      <c r="I484">
        <v>4</v>
      </c>
      <c r="J484">
        <v>46588</v>
      </c>
    </row>
    <row r="485" spans="1:10" x14ac:dyDescent="0.3">
      <c r="A485" t="s">
        <v>655</v>
      </c>
      <c r="B485" t="s">
        <v>656</v>
      </c>
      <c r="C485">
        <v>90</v>
      </c>
      <c r="D485" t="s">
        <v>17</v>
      </c>
      <c r="E485" t="s">
        <v>18</v>
      </c>
      <c r="F485" t="s">
        <v>27</v>
      </c>
      <c r="G485" s="1">
        <v>45844</v>
      </c>
      <c r="H485" s="1">
        <v>45856</v>
      </c>
      <c r="I485">
        <v>12</v>
      </c>
      <c r="J485">
        <v>121368</v>
      </c>
    </row>
    <row r="486" spans="1:10" x14ac:dyDescent="0.3">
      <c r="A486" t="s">
        <v>657</v>
      </c>
      <c r="B486" t="s">
        <v>52</v>
      </c>
      <c r="C486">
        <v>49</v>
      </c>
      <c r="D486" t="s">
        <v>12</v>
      </c>
      <c r="E486" t="s">
        <v>30</v>
      </c>
      <c r="F486" t="s">
        <v>27</v>
      </c>
      <c r="G486" s="1">
        <v>45684</v>
      </c>
      <c r="H486" s="1">
        <v>45691</v>
      </c>
      <c r="I486">
        <v>7</v>
      </c>
      <c r="J486">
        <v>66766</v>
      </c>
    </row>
    <row r="487" spans="1:10" x14ac:dyDescent="0.3">
      <c r="A487" t="s">
        <v>658</v>
      </c>
      <c r="B487" t="s">
        <v>158</v>
      </c>
      <c r="C487">
        <v>6</v>
      </c>
      <c r="D487" t="s">
        <v>17</v>
      </c>
      <c r="E487" t="s">
        <v>102</v>
      </c>
      <c r="F487" t="s">
        <v>42</v>
      </c>
      <c r="G487" s="1">
        <v>45944</v>
      </c>
      <c r="H487" s="1">
        <v>45953</v>
      </c>
      <c r="I487">
        <v>9</v>
      </c>
      <c r="J487">
        <v>46161</v>
      </c>
    </row>
    <row r="488" spans="1:10" x14ac:dyDescent="0.3">
      <c r="A488" t="s">
        <v>659</v>
      </c>
      <c r="B488" t="s">
        <v>41</v>
      </c>
      <c r="C488">
        <v>28</v>
      </c>
      <c r="D488" t="s">
        <v>17</v>
      </c>
      <c r="E488" t="s">
        <v>45</v>
      </c>
      <c r="F488" t="s">
        <v>19</v>
      </c>
      <c r="G488" s="1">
        <v>45709</v>
      </c>
      <c r="H488" s="1">
        <v>45712</v>
      </c>
      <c r="I488">
        <v>3</v>
      </c>
      <c r="J488">
        <v>18201</v>
      </c>
    </row>
    <row r="489" spans="1:10" x14ac:dyDescent="0.3">
      <c r="A489" t="s">
        <v>660</v>
      </c>
      <c r="B489" t="s">
        <v>236</v>
      </c>
      <c r="C489">
        <v>57</v>
      </c>
      <c r="D489" t="s">
        <v>12</v>
      </c>
      <c r="E489" t="s">
        <v>26</v>
      </c>
      <c r="F489" t="s">
        <v>62</v>
      </c>
      <c r="G489" s="1">
        <v>45970</v>
      </c>
      <c r="H489" s="1">
        <v>45985</v>
      </c>
      <c r="I489">
        <v>15</v>
      </c>
      <c r="J489">
        <v>137100</v>
      </c>
    </row>
    <row r="490" spans="1:10" x14ac:dyDescent="0.3">
      <c r="A490" t="s">
        <v>661</v>
      </c>
      <c r="B490" t="s">
        <v>76</v>
      </c>
      <c r="C490">
        <v>46</v>
      </c>
      <c r="D490" t="s">
        <v>17</v>
      </c>
      <c r="E490" t="s">
        <v>13</v>
      </c>
      <c r="F490" t="s">
        <v>42</v>
      </c>
      <c r="G490" s="1">
        <v>45879</v>
      </c>
      <c r="H490" s="1">
        <v>45882</v>
      </c>
      <c r="I490">
        <v>3</v>
      </c>
      <c r="J490">
        <v>29097</v>
      </c>
    </row>
    <row r="491" spans="1:10" x14ac:dyDescent="0.3">
      <c r="A491" t="s">
        <v>662</v>
      </c>
      <c r="B491" t="s">
        <v>185</v>
      </c>
      <c r="C491">
        <v>78</v>
      </c>
      <c r="D491" t="s">
        <v>17</v>
      </c>
      <c r="E491" t="s">
        <v>22</v>
      </c>
      <c r="F491" t="s">
        <v>14</v>
      </c>
      <c r="G491" s="1">
        <v>45730</v>
      </c>
      <c r="H491" s="1">
        <v>45732</v>
      </c>
      <c r="I491">
        <v>2</v>
      </c>
      <c r="J491">
        <v>8942</v>
      </c>
    </row>
    <row r="492" spans="1:10" x14ac:dyDescent="0.3">
      <c r="A492" t="s">
        <v>663</v>
      </c>
      <c r="B492" t="s">
        <v>256</v>
      </c>
      <c r="C492">
        <v>55</v>
      </c>
      <c r="D492" t="s">
        <v>17</v>
      </c>
      <c r="E492" t="s">
        <v>13</v>
      </c>
      <c r="F492" t="s">
        <v>42</v>
      </c>
      <c r="G492" s="1">
        <v>45775</v>
      </c>
      <c r="H492" s="1">
        <v>45779</v>
      </c>
      <c r="I492">
        <v>4</v>
      </c>
      <c r="J492">
        <v>35572</v>
      </c>
    </row>
    <row r="493" spans="1:10" x14ac:dyDescent="0.3">
      <c r="A493" t="s">
        <v>664</v>
      </c>
      <c r="B493" t="s">
        <v>236</v>
      </c>
      <c r="C493">
        <v>20</v>
      </c>
      <c r="D493" t="s">
        <v>12</v>
      </c>
      <c r="E493" t="s">
        <v>39</v>
      </c>
      <c r="F493" t="s">
        <v>34</v>
      </c>
      <c r="G493" s="1">
        <v>45978</v>
      </c>
      <c r="H493" s="1">
        <v>45981</v>
      </c>
      <c r="I493">
        <v>3</v>
      </c>
      <c r="J493">
        <v>19905</v>
      </c>
    </row>
    <row r="494" spans="1:10" x14ac:dyDescent="0.3">
      <c r="A494" t="s">
        <v>665</v>
      </c>
      <c r="B494" t="s">
        <v>154</v>
      </c>
      <c r="C494">
        <v>23</v>
      </c>
      <c r="D494" t="s">
        <v>12</v>
      </c>
      <c r="E494" t="s">
        <v>48</v>
      </c>
      <c r="F494" t="s">
        <v>14</v>
      </c>
      <c r="G494" s="1">
        <v>45680</v>
      </c>
      <c r="H494" s="1">
        <v>45683</v>
      </c>
      <c r="I494">
        <v>3</v>
      </c>
      <c r="J494">
        <v>15570</v>
      </c>
    </row>
    <row r="495" spans="1:10" x14ac:dyDescent="0.3">
      <c r="A495" t="s">
        <v>666</v>
      </c>
      <c r="B495" t="s">
        <v>70</v>
      </c>
      <c r="C495">
        <v>41</v>
      </c>
      <c r="D495" t="s">
        <v>17</v>
      </c>
      <c r="E495" t="s">
        <v>39</v>
      </c>
      <c r="F495" t="s">
        <v>59</v>
      </c>
      <c r="G495" s="1">
        <v>45925</v>
      </c>
      <c r="H495" s="1">
        <v>45937</v>
      </c>
      <c r="I495">
        <v>12</v>
      </c>
      <c r="J495">
        <v>75240</v>
      </c>
    </row>
    <row r="496" spans="1:10" x14ac:dyDescent="0.3">
      <c r="A496" t="s">
        <v>667</v>
      </c>
      <c r="B496" t="s">
        <v>144</v>
      </c>
      <c r="C496">
        <v>69</v>
      </c>
      <c r="D496" t="s">
        <v>17</v>
      </c>
      <c r="E496" t="s">
        <v>22</v>
      </c>
      <c r="F496" t="s">
        <v>34</v>
      </c>
      <c r="G496" s="1">
        <v>45905</v>
      </c>
      <c r="H496" s="1">
        <v>45913</v>
      </c>
      <c r="I496">
        <v>8</v>
      </c>
      <c r="J496">
        <v>73768</v>
      </c>
    </row>
    <row r="497" spans="1:10" x14ac:dyDescent="0.3">
      <c r="A497" t="s">
        <v>668</v>
      </c>
      <c r="B497" t="s">
        <v>343</v>
      </c>
      <c r="C497">
        <v>8</v>
      </c>
      <c r="D497" t="s">
        <v>17</v>
      </c>
      <c r="E497" t="s">
        <v>48</v>
      </c>
      <c r="F497" t="s">
        <v>62</v>
      </c>
      <c r="G497" s="1">
        <v>45976</v>
      </c>
      <c r="H497" s="1">
        <v>45988</v>
      </c>
      <c r="I497">
        <v>12</v>
      </c>
      <c r="J497">
        <v>73284</v>
      </c>
    </row>
    <row r="498" spans="1:10" x14ac:dyDescent="0.3">
      <c r="A498" t="s">
        <v>669</v>
      </c>
      <c r="B498" t="s">
        <v>76</v>
      </c>
      <c r="C498">
        <v>69</v>
      </c>
      <c r="D498" t="s">
        <v>17</v>
      </c>
      <c r="E498" t="s">
        <v>45</v>
      </c>
      <c r="F498" t="s">
        <v>27</v>
      </c>
      <c r="G498" s="1">
        <v>46011</v>
      </c>
      <c r="H498" s="1">
        <v>46024</v>
      </c>
      <c r="I498">
        <v>13</v>
      </c>
      <c r="J498">
        <v>114998</v>
      </c>
    </row>
    <row r="499" spans="1:10" x14ac:dyDescent="0.3">
      <c r="A499" t="s">
        <v>670</v>
      </c>
      <c r="B499" t="s">
        <v>47</v>
      </c>
      <c r="C499">
        <v>43</v>
      </c>
      <c r="D499" t="s">
        <v>12</v>
      </c>
      <c r="E499" t="s">
        <v>39</v>
      </c>
      <c r="F499" t="s">
        <v>62</v>
      </c>
      <c r="G499" s="1">
        <v>45895</v>
      </c>
      <c r="H499" s="1">
        <v>45905</v>
      </c>
      <c r="I499">
        <v>10</v>
      </c>
      <c r="J499">
        <v>114440</v>
      </c>
    </row>
    <row r="500" spans="1:10" x14ac:dyDescent="0.3">
      <c r="A500" t="s">
        <v>671</v>
      </c>
      <c r="B500" t="s">
        <v>72</v>
      </c>
      <c r="C500">
        <v>26</v>
      </c>
      <c r="D500" t="s">
        <v>12</v>
      </c>
      <c r="E500" t="s">
        <v>22</v>
      </c>
      <c r="F500" t="s">
        <v>34</v>
      </c>
      <c r="G500" s="1">
        <v>45887</v>
      </c>
      <c r="H500" s="1">
        <v>45888</v>
      </c>
      <c r="I500">
        <v>1</v>
      </c>
      <c r="J500">
        <v>6054</v>
      </c>
    </row>
    <row r="501" spans="1:10" x14ac:dyDescent="0.3">
      <c r="A501" t="s">
        <v>672</v>
      </c>
      <c r="B501" t="s">
        <v>312</v>
      </c>
      <c r="C501">
        <v>36</v>
      </c>
      <c r="D501" t="s">
        <v>12</v>
      </c>
      <c r="E501" t="s">
        <v>22</v>
      </c>
      <c r="F501" t="s">
        <v>14</v>
      </c>
      <c r="G501" s="1">
        <v>46001</v>
      </c>
      <c r="H501" s="1">
        <v>46010</v>
      </c>
      <c r="I501">
        <v>9</v>
      </c>
      <c r="J501">
        <v>87228</v>
      </c>
    </row>
    <row r="502" spans="1:10" x14ac:dyDescent="0.3">
      <c r="A502" t="s">
        <v>673</v>
      </c>
      <c r="B502" t="s">
        <v>366</v>
      </c>
      <c r="C502">
        <v>84</v>
      </c>
      <c r="D502" t="s">
        <v>17</v>
      </c>
      <c r="E502" t="s">
        <v>33</v>
      </c>
      <c r="F502" t="s">
        <v>34</v>
      </c>
      <c r="G502" s="1">
        <v>45705</v>
      </c>
      <c r="H502" s="1">
        <v>45708</v>
      </c>
      <c r="I502">
        <v>3</v>
      </c>
      <c r="J502">
        <v>24471</v>
      </c>
    </row>
    <row r="503" spans="1:10" x14ac:dyDescent="0.3">
      <c r="A503" t="s">
        <v>674</v>
      </c>
      <c r="B503" t="s">
        <v>461</v>
      </c>
      <c r="C503">
        <v>54</v>
      </c>
      <c r="D503" t="s">
        <v>12</v>
      </c>
      <c r="E503" t="s">
        <v>48</v>
      </c>
      <c r="F503" t="s">
        <v>14</v>
      </c>
      <c r="G503" s="1">
        <v>45918</v>
      </c>
      <c r="H503" s="1">
        <v>45923</v>
      </c>
      <c r="I503">
        <v>5</v>
      </c>
      <c r="J503">
        <v>29255</v>
      </c>
    </row>
    <row r="504" spans="1:10" x14ac:dyDescent="0.3">
      <c r="A504" t="s">
        <v>675</v>
      </c>
      <c r="B504" t="s">
        <v>409</v>
      </c>
      <c r="C504">
        <v>27</v>
      </c>
      <c r="D504" t="s">
        <v>17</v>
      </c>
      <c r="E504" t="s">
        <v>45</v>
      </c>
      <c r="F504" t="s">
        <v>14</v>
      </c>
      <c r="G504" s="1">
        <v>45905</v>
      </c>
      <c r="H504" s="1">
        <v>45915</v>
      </c>
      <c r="I504">
        <v>10</v>
      </c>
      <c r="J504">
        <v>81910</v>
      </c>
    </row>
    <row r="505" spans="1:10" x14ac:dyDescent="0.3">
      <c r="A505" t="s">
        <v>676</v>
      </c>
      <c r="B505" t="s">
        <v>211</v>
      </c>
      <c r="C505">
        <v>36</v>
      </c>
      <c r="D505" t="s">
        <v>17</v>
      </c>
      <c r="E505" t="s">
        <v>39</v>
      </c>
      <c r="F505" t="s">
        <v>59</v>
      </c>
      <c r="G505" s="1">
        <v>45914</v>
      </c>
      <c r="H505" s="1">
        <v>45927</v>
      </c>
      <c r="I505">
        <v>13</v>
      </c>
      <c r="J505">
        <v>84539</v>
      </c>
    </row>
    <row r="506" spans="1:10" x14ac:dyDescent="0.3">
      <c r="A506" t="s">
        <v>677</v>
      </c>
      <c r="B506" t="s">
        <v>32</v>
      </c>
      <c r="C506">
        <v>42</v>
      </c>
      <c r="D506" t="s">
        <v>12</v>
      </c>
      <c r="E506" t="s">
        <v>30</v>
      </c>
      <c r="F506" t="s">
        <v>19</v>
      </c>
      <c r="G506" s="1">
        <v>45957</v>
      </c>
      <c r="H506" s="1">
        <v>45965</v>
      </c>
      <c r="I506">
        <v>8</v>
      </c>
      <c r="J506">
        <v>66864</v>
      </c>
    </row>
    <row r="507" spans="1:10" x14ac:dyDescent="0.3">
      <c r="A507" t="s">
        <v>678</v>
      </c>
      <c r="B507" t="s">
        <v>146</v>
      </c>
      <c r="C507">
        <v>16</v>
      </c>
      <c r="D507" t="s">
        <v>17</v>
      </c>
      <c r="E507" t="s">
        <v>26</v>
      </c>
      <c r="F507" t="s">
        <v>34</v>
      </c>
      <c r="G507" s="1">
        <v>45846</v>
      </c>
      <c r="H507" s="1">
        <v>45854</v>
      </c>
      <c r="I507">
        <v>8</v>
      </c>
      <c r="J507">
        <v>56328</v>
      </c>
    </row>
    <row r="508" spans="1:10" x14ac:dyDescent="0.3">
      <c r="A508" t="s">
        <v>679</v>
      </c>
      <c r="B508" t="s">
        <v>211</v>
      </c>
      <c r="C508">
        <v>41</v>
      </c>
      <c r="D508" t="s">
        <v>17</v>
      </c>
      <c r="E508" t="s">
        <v>13</v>
      </c>
      <c r="F508" t="s">
        <v>34</v>
      </c>
      <c r="G508" s="1">
        <v>46018</v>
      </c>
      <c r="H508" s="1">
        <v>46019</v>
      </c>
      <c r="I508">
        <v>1</v>
      </c>
      <c r="J508">
        <v>11144</v>
      </c>
    </row>
    <row r="509" spans="1:10" x14ac:dyDescent="0.3">
      <c r="A509" t="s">
        <v>680</v>
      </c>
      <c r="B509" t="s">
        <v>89</v>
      </c>
      <c r="C509">
        <v>90</v>
      </c>
      <c r="D509" t="s">
        <v>12</v>
      </c>
      <c r="E509" t="s">
        <v>22</v>
      </c>
      <c r="F509" t="s">
        <v>34</v>
      </c>
      <c r="G509" s="1">
        <v>45954</v>
      </c>
      <c r="H509" s="1">
        <v>45959</v>
      </c>
      <c r="I509">
        <v>5</v>
      </c>
      <c r="J509">
        <v>47025</v>
      </c>
    </row>
    <row r="510" spans="1:10" x14ac:dyDescent="0.3">
      <c r="A510" t="s">
        <v>681</v>
      </c>
      <c r="B510" t="s">
        <v>682</v>
      </c>
      <c r="C510">
        <v>68</v>
      </c>
      <c r="D510" t="s">
        <v>12</v>
      </c>
      <c r="E510" t="s">
        <v>30</v>
      </c>
      <c r="F510" t="s">
        <v>42</v>
      </c>
      <c r="G510" s="1">
        <v>45730</v>
      </c>
      <c r="H510" s="1">
        <v>45735</v>
      </c>
      <c r="I510">
        <v>5</v>
      </c>
      <c r="J510">
        <v>46510</v>
      </c>
    </row>
    <row r="511" spans="1:10" x14ac:dyDescent="0.3">
      <c r="A511" t="s">
        <v>683</v>
      </c>
      <c r="B511" t="s">
        <v>217</v>
      </c>
      <c r="C511">
        <v>78</v>
      </c>
      <c r="D511" t="s">
        <v>17</v>
      </c>
      <c r="E511" t="s">
        <v>13</v>
      </c>
      <c r="F511" t="s">
        <v>27</v>
      </c>
      <c r="G511" s="1">
        <v>45739</v>
      </c>
      <c r="H511" s="1">
        <v>45748</v>
      </c>
      <c r="I511">
        <v>9</v>
      </c>
      <c r="J511">
        <v>64926</v>
      </c>
    </row>
    <row r="512" spans="1:10" x14ac:dyDescent="0.3">
      <c r="A512" t="s">
        <v>684</v>
      </c>
      <c r="B512" t="s">
        <v>112</v>
      </c>
      <c r="C512">
        <v>62</v>
      </c>
      <c r="D512" t="s">
        <v>17</v>
      </c>
      <c r="E512" t="s">
        <v>30</v>
      </c>
      <c r="F512" t="s">
        <v>59</v>
      </c>
      <c r="G512" s="1">
        <v>46002</v>
      </c>
      <c r="H512" s="1">
        <v>46012</v>
      </c>
      <c r="I512">
        <v>10</v>
      </c>
      <c r="J512">
        <v>49270</v>
      </c>
    </row>
    <row r="513" spans="1:10" x14ac:dyDescent="0.3">
      <c r="A513" t="s">
        <v>685</v>
      </c>
      <c r="B513" t="s">
        <v>168</v>
      </c>
      <c r="C513">
        <v>88</v>
      </c>
      <c r="D513" t="s">
        <v>17</v>
      </c>
      <c r="E513" t="s">
        <v>30</v>
      </c>
      <c r="F513" t="s">
        <v>59</v>
      </c>
      <c r="G513" s="1">
        <v>45809</v>
      </c>
      <c r="H513" s="1">
        <v>45824</v>
      </c>
      <c r="I513">
        <v>15</v>
      </c>
      <c r="J513">
        <v>79035</v>
      </c>
    </row>
    <row r="514" spans="1:10" x14ac:dyDescent="0.3">
      <c r="A514" t="s">
        <v>686</v>
      </c>
      <c r="B514" t="s">
        <v>123</v>
      </c>
      <c r="C514">
        <v>41</v>
      </c>
      <c r="D514" t="s">
        <v>12</v>
      </c>
      <c r="E514" t="s">
        <v>13</v>
      </c>
      <c r="F514" t="s">
        <v>59</v>
      </c>
      <c r="G514" s="1">
        <v>45703</v>
      </c>
      <c r="H514" s="1">
        <v>45715</v>
      </c>
      <c r="I514">
        <v>12</v>
      </c>
      <c r="J514">
        <v>99444</v>
      </c>
    </row>
    <row r="515" spans="1:10" x14ac:dyDescent="0.3">
      <c r="A515" t="s">
        <v>687</v>
      </c>
      <c r="B515" t="s">
        <v>231</v>
      </c>
      <c r="C515">
        <v>90</v>
      </c>
      <c r="D515" t="s">
        <v>12</v>
      </c>
      <c r="E515" t="s">
        <v>102</v>
      </c>
      <c r="F515" t="s">
        <v>62</v>
      </c>
      <c r="G515" s="1">
        <v>45929</v>
      </c>
      <c r="H515" s="1">
        <v>45934</v>
      </c>
      <c r="I515">
        <v>5</v>
      </c>
      <c r="J515">
        <v>56180</v>
      </c>
    </row>
    <row r="516" spans="1:10" x14ac:dyDescent="0.3">
      <c r="A516" t="s">
        <v>688</v>
      </c>
      <c r="B516" t="s">
        <v>89</v>
      </c>
      <c r="C516">
        <v>26</v>
      </c>
      <c r="D516" t="s">
        <v>17</v>
      </c>
      <c r="E516" t="s">
        <v>45</v>
      </c>
      <c r="F516" t="s">
        <v>14</v>
      </c>
      <c r="G516" s="1">
        <v>45971</v>
      </c>
      <c r="H516" s="1">
        <v>45983</v>
      </c>
      <c r="I516">
        <v>12</v>
      </c>
      <c r="J516">
        <v>119316</v>
      </c>
    </row>
    <row r="517" spans="1:10" x14ac:dyDescent="0.3">
      <c r="A517" t="s">
        <v>689</v>
      </c>
      <c r="B517" t="s">
        <v>690</v>
      </c>
      <c r="C517">
        <v>44</v>
      </c>
      <c r="D517" t="s">
        <v>12</v>
      </c>
      <c r="E517" t="s">
        <v>48</v>
      </c>
      <c r="F517" t="s">
        <v>27</v>
      </c>
      <c r="G517" s="1">
        <v>45675</v>
      </c>
      <c r="H517" s="1">
        <v>45683</v>
      </c>
      <c r="I517">
        <v>8</v>
      </c>
      <c r="J517">
        <v>69368</v>
      </c>
    </row>
    <row r="518" spans="1:10" x14ac:dyDescent="0.3">
      <c r="A518" t="s">
        <v>691</v>
      </c>
      <c r="B518" t="s">
        <v>148</v>
      </c>
      <c r="C518">
        <v>36</v>
      </c>
      <c r="D518" t="s">
        <v>17</v>
      </c>
      <c r="E518" t="s">
        <v>102</v>
      </c>
      <c r="F518" t="s">
        <v>42</v>
      </c>
      <c r="G518" s="1">
        <v>45921</v>
      </c>
      <c r="H518" s="1">
        <v>45927</v>
      </c>
      <c r="I518">
        <v>6</v>
      </c>
      <c r="J518">
        <v>50142</v>
      </c>
    </row>
    <row r="519" spans="1:10" x14ac:dyDescent="0.3">
      <c r="A519" t="s">
        <v>692</v>
      </c>
      <c r="B519" t="s">
        <v>91</v>
      </c>
      <c r="C519">
        <v>57</v>
      </c>
      <c r="D519" t="s">
        <v>12</v>
      </c>
      <c r="E519" t="s">
        <v>13</v>
      </c>
      <c r="F519" t="s">
        <v>34</v>
      </c>
      <c r="G519" s="1">
        <v>45856</v>
      </c>
      <c r="H519" s="1">
        <v>45857</v>
      </c>
      <c r="I519">
        <v>1</v>
      </c>
      <c r="J519">
        <v>4497</v>
      </c>
    </row>
    <row r="520" spans="1:10" x14ac:dyDescent="0.3">
      <c r="A520" t="s">
        <v>693</v>
      </c>
      <c r="B520" t="s">
        <v>100</v>
      </c>
      <c r="C520">
        <v>43</v>
      </c>
      <c r="D520" t="s">
        <v>12</v>
      </c>
      <c r="E520" t="s">
        <v>102</v>
      </c>
      <c r="F520" t="s">
        <v>27</v>
      </c>
      <c r="G520" s="1">
        <v>45987</v>
      </c>
      <c r="H520" s="1">
        <v>46002</v>
      </c>
      <c r="I520">
        <v>15</v>
      </c>
      <c r="J520">
        <v>115590</v>
      </c>
    </row>
    <row r="521" spans="1:10" x14ac:dyDescent="0.3">
      <c r="A521" t="s">
        <v>694</v>
      </c>
      <c r="B521" t="s">
        <v>89</v>
      </c>
      <c r="C521">
        <v>61</v>
      </c>
      <c r="D521" t="s">
        <v>17</v>
      </c>
      <c r="E521" t="s">
        <v>18</v>
      </c>
      <c r="F521" t="s">
        <v>59</v>
      </c>
      <c r="G521" s="1">
        <v>46015</v>
      </c>
      <c r="H521" s="1">
        <v>46026</v>
      </c>
      <c r="I521">
        <v>11</v>
      </c>
      <c r="J521">
        <v>90563</v>
      </c>
    </row>
    <row r="522" spans="1:10" x14ac:dyDescent="0.3">
      <c r="A522" t="s">
        <v>695</v>
      </c>
      <c r="B522" t="s">
        <v>267</v>
      </c>
      <c r="C522">
        <v>66</v>
      </c>
      <c r="D522" t="s">
        <v>17</v>
      </c>
      <c r="E522" t="s">
        <v>18</v>
      </c>
      <c r="F522" t="s">
        <v>34</v>
      </c>
      <c r="G522" s="1">
        <v>45678</v>
      </c>
      <c r="H522" s="1">
        <v>45685</v>
      </c>
      <c r="I522">
        <v>7</v>
      </c>
      <c r="J522">
        <v>38276</v>
      </c>
    </row>
    <row r="523" spans="1:10" x14ac:dyDescent="0.3">
      <c r="A523" t="s">
        <v>696</v>
      </c>
      <c r="B523" t="s">
        <v>394</v>
      </c>
      <c r="C523">
        <v>41</v>
      </c>
      <c r="D523" t="s">
        <v>12</v>
      </c>
      <c r="E523" t="s">
        <v>45</v>
      </c>
      <c r="F523" t="s">
        <v>27</v>
      </c>
      <c r="G523" s="1">
        <v>45686</v>
      </c>
      <c r="H523" s="1">
        <v>45688</v>
      </c>
      <c r="I523">
        <v>2</v>
      </c>
      <c r="J523">
        <v>18364</v>
      </c>
    </row>
    <row r="524" spans="1:10" x14ac:dyDescent="0.3">
      <c r="A524" t="s">
        <v>697</v>
      </c>
      <c r="B524" t="s">
        <v>151</v>
      </c>
      <c r="C524">
        <v>40</v>
      </c>
      <c r="D524" t="s">
        <v>12</v>
      </c>
      <c r="E524" t="s">
        <v>45</v>
      </c>
      <c r="F524" t="s">
        <v>42</v>
      </c>
      <c r="G524" s="1">
        <v>45837</v>
      </c>
      <c r="H524" s="1">
        <v>45850</v>
      </c>
      <c r="I524">
        <v>13</v>
      </c>
      <c r="J524">
        <v>153179</v>
      </c>
    </row>
    <row r="525" spans="1:10" x14ac:dyDescent="0.3">
      <c r="A525" t="s">
        <v>698</v>
      </c>
      <c r="B525" t="s">
        <v>123</v>
      </c>
      <c r="C525">
        <v>35</v>
      </c>
      <c r="D525" t="s">
        <v>12</v>
      </c>
      <c r="E525" t="s">
        <v>30</v>
      </c>
      <c r="F525" t="s">
        <v>59</v>
      </c>
      <c r="G525" s="1">
        <v>45983</v>
      </c>
      <c r="H525" s="1">
        <v>45992</v>
      </c>
      <c r="I525">
        <v>9</v>
      </c>
      <c r="J525">
        <v>83340</v>
      </c>
    </row>
    <row r="526" spans="1:10" x14ac:dyDescent="0.3">
      <c r="A526" t="s">
        <v>699</v>
      </c>
      <c r="B526" t="s">
        <v>207</v>
      </c>
      <c r="C526">
        <v>49</v>
      </c>
      <c r="D526" t="s">
        <v>12</v>
      </c>
      <c r="E526" t="s">
        <v>48</v>
      </c>
      <c r="F526" t="s">
        <v>14</v>
      </c>
      <c r="G526" s="1">
        <v>45715</v>
      </c>
      <c r="H526" s="1">
        <v>45721</v>
      </c>
      <c r="I526">
        <v>6</v>
      </c>
      <c r="J526">
        <v>57120</v>
      </c>
    </row>
    <row r="527" spans="1:10" x14ac:dyDescent="0.3">
      <c r="A527" t="s">
        <v>700</v>
      </c>
      <c r="B527" t="s">
        <v>471</v>
      </c>
      <c r="C527">
        <v>43</v>
      </c>
      <c r="D527" t="s">
        <v>12</v>
      </c>
      <c r="E527" t="s">
        <v>39</v>
      </c>
      <c r="F527" t="s">
        <v>19</v>
      </c>
      <c r="G527" s="1">
        <v>45705</v>
      </c>
      <c r="H527" s="1">
        <v>45714</v>
      </c>
      <c r="I527">
        <v>9</v>
      </c>
      <c r="J527">
        <v>78777</v>
      </c>
    </row>
    <row r="528" spans="1:10" x14ac:dyDescent="0.3">
      <c r="A528" t="s">
        <v>701</v>
      </c>
      <c r="B528" t="s">
        <v>435</v>
      </c>
      <c r="C528">
        <v>64</v>
      </c>
      <c r="D528" t="s">
        <v>17</v>
      </c>
      <c r="E528" t="s">
        <v>48</v>
      </c>
      <c r="F528" t="s">
        <v>62</v>
      </c>
      <c r="G528" s="1">
        <v>45859</v>
      </c>
      <c r="H528" s="1">
        <v>45861</v>
      </c>
      <c r="I528">
        <v>2</v>
      </c>
      <c r="J528">
        <v>10104</v>
      </c>
    </row>
    <row r="529" spans="1:10" x14ac:dyDescent="0.3">
      <c r="A529" t="s">
        <v>702</v>
      </c>
      <c r="B529" t="s">
        <v>139</v>
      </c>
      <c r="C529">
        <v>72</v>
      </c>
      <c r="D529" t="s">
        <v>12</v>
      </c>
      <c r="E529" t="s">
        <v>13</v>
      </c>
      <c r="F529" t="s">
        <v>23</v>
      </c>
      <c r="G529" s="1">
        <v>45668</v>
      </c>
      <c r="H529" s="1">
        <v>45682</v>
      </c>
      <c r="I529">
        <v>14</v>
      </c>
      <c r="J529">
        <v>158186</v>
      </c>
    </row>
    <row r="530" spans="1:10" x14ac:dyDescent="0.3">
      <c r="A530" t="s">
        <v>703</v>
      </c>
      <c r="B530" t="s">
        <v>21</v>
      </c>
      <c r="C530">
        <v>21</v>
      </c>
      <c r="D530" t="s">
        <v>12</v>
      </c>
      <c r="E530" t="s">
        <v>33</v>
      </c>
      <c r="F530" t="s">
        <v>62</v>
      </c>
      <c r="G530" s="1">
        <v>45818</v>
      </c>
      <c r="H530" s="1">
        <v>45827</v>
      </c>
      <c r="I530">
        <v>9</v>
      </c>
      <c r="J530">
        <v>78210</v>
      </c>
    </row>
    <row r="531" spans="1:10" x14ac:dyDescent="0.3">
      <c r="A531" t="s">
        <v>704</v>
      </c>
      <c r="B531" t="s">
        <v>32</v>
      </c>
      <c r="C531">
        <v>45</v>
      </c>
      <c r="D531" t="s">
        <v>12</v>
      </c>
      <c r="E531" t="s">
        <v>102</v>
      </c>
      <c r="F531" t="s">
        <v>19</v>
      </c>
      <c r="G531" s="1">
        <v>45744</v>
      </c>
      <c r="H531" s="1">
        <v>45754</v>
      </c>
      <c r="I531">
        <v>10</v>
      </c>
      <c r="J531">
        <v>96320</v>
      </c>
    </row>
    <row r="532" spans="1:10" x14ac:dyDescent="0.3">
      <c r="A532" t="s">
        <v>705</v>
      </c>
      <c r="B532" t="s">
        <v>361</v>
      </c>
      <c r="C532">
        <v>87</v>
      </c>
      <c r="D532" t="s">
        <v>12</v>
      </c>
      <c r="E532" t="s">
        <v>22</v>
      </c>
      <c r="F532" t="s">
        <v>34</v>
      </c>
      <c r="G532" s="1">
        <v>45830</v>
      </c>
      <c r="H532" s="1">
        <v>45841</v>
      </c>
      <c r="I532">
        <v>11</v>
      </c>
      <c r="J532">
        <v>52228</v>
      </c>
    </row>
    <row r="533" spans="1:10" x14ac:dyDescent="0.3">
      <c r="A533" t="s">
        <v>706</v>
      </c>
      <c r="B533" t="s">
        <v>66</v>
      </c>
      <c r="C533">
        <v>12</v>
      </c>
      <c r="D533" t="s">
        <v>17</v>
      </c>
      <c r="E533" t="s">
        <v>45</v>
      </c>
      <c r="F533" t="s">
        <v>42</v>
      </c>
      <c r="G533" s="1">
        <v>45898</v>
      </c>
      <c r="H533" s="1">
        <v>45905</v>
      </c>
      <c r="I533">
        <v>7</v>
      </c>
      <c r="J533">
        <v>70182</v>
      </c>
    </row>
    <row r="534" spans="1:10" x14ac:dyDescent="0.3">
      <c r="A534" t="s">
        <v>707</v>
      </c>
      <c r="B534" t="s">
        <v>267</v>
      </c>
      <c r="C534">
        <v>73</v>
      </c>
      <c r="D534" t="s">
        <v>17</v>
      </c>
      <c r="E534" t="s">
        <v>48</v>
      </c>
      <c r="F534" t="s">
        <v>14</v>
      </c>
      <c r="G534" s="1">
        <v>45787</v>
      </c>
      <c r="H534" s="1">
        <v>45795</v>
      </c>
      <c r="I534">
        <v>8</v>
      </c>
      <c r="J534">
        <v>70208</v>
      </c>
    </row>
    <row r="535" spans="1:10" x14ac:dyDescent="0.3">
      <c r="A535" t="s">
        <v>708</v>
      </c>
      <c r="B535" t="s">
        <v>47</v>
      </c>
      <c r="C535">
        <v>35</v>
      </c>
      <c r="D535" t="s">
        <v>17</v>
      </c>
      <c r="E535" t="s">
        <v>48</v>
      </c>
      <c r="F535" t="s">
        <v>14</v>
      </c>
      <c r="G535" s="1">
        <v>45906</v>
      </c>
      <c r="H535" s="1">
        <v>45913</v>
      </c>
      <c r="I535">
        <v>7</v>
      </c>
      <c r="J535">
        <v>45549</v>
      </c>
    </row>
    <row r="536" spans="1:10" x14ac:dyDescent="0.3">
      <c r="A536" t="s">
        <v>709</v>
      </c>
      <c r="B536" t="s">
        <v>162</v>
      </c>
      <c r="C536">
        <v>30</v>
      </c>
      <c r="D536" t="s">
        <v>12</v>
      </c>
      <c r="E536" t="s">
        <v>18</v>
      </c>
      <c r="F536" t="s">
        <v>42</v>
      </c>
      <c r="G536" s="1">
        <v>45681</v>
      </c>
      <c r="H536" s="1">
        <v>45692</v>
      </c>
      <c r="I536">
        <v>11</v>
      </c>
      <c r="J536">
        <v>122815</v>
      </c>
    </row>
    <row r="537" spans="1:10" x14ac:dyDescent="0.3">
      <c r="A537" t="s">
        <v>710</v>
      </c>
      <c r="B537" t="s">
        <v>464</v>
      </c>
      <c r="C537">
        <v>78</v>
      </c>
      <c r="D537" t="s">
        <v>17</v>
      </c>
      <c r="E537" t="s">
        <v>26</v>
      </c>
      <c r="F537" t="s">
        <v>27</v>
      </c>
      <c r="G537" s="1">
        <v>45802</v>
      </c>
      <c r="H537" s="1">
        <v>45809</v>
      </c>
      <c r="I537">
        <v>7</v>
      </c>
      <c r="J537">
        <v>67228</v>
      </c>
    </row>
    <row r="538" spans="1:10" x14ac:dyDescent="0.3">
      <c r="A538" t="s">
        <v>711</v>
      </c>
      <c r="B538" t="s">
        <v>712</v>
      </c>
      <c r="C538">
        <v>87</v>
      </c>
      <c r="D538" t="s">
        <v>17</v>
      </c>
      <c r="E538" t="s">
        <v>33</v>
      </c>
      <c r="F538" t="s">
        <v>19</v>
      </c>
      <c r="G538" s="1">
        <v>45688</v>
      </c>
      <c r="H538" s="1">
        <v>45701</v>
      </c>
      <c r="I538">
        <v>13</v>
      </c>
      <c r="J538">
        <v>127686</v>
      </c>
    </row>
    <row r="539" spans="1:10" x14ac:dyDescent="0.3">
      <c r="A539" t="s">
        <v>713</v>
      </c>
      <c r="B539" t="s">
        <v>93</v>
      </c>
      <c r="C539">
        <v>47</v>
      </c>
      <c r="D539" t="s">
        <v>12</v>
      </c>
      <c r="E539" t="s">
        <v>30</v>
      </c>
      <c r="F539" t="s">
        <v>14</v>
      </c>
      <c r="G539" s="1">
        <v>45686</v>
      </c>
      <c r="H539" s="1">
        <v>45695</v>
      </c>
      <c r="I539">
        <v>9</v>
      </c>
      <c r="J539">
        <v>69417</v>
      </c>
    </row>
    <row r="540" spans="1:10" x14ac:dyDescent="0.3">
      <c r="A540" t="s">
        <v>714</v>
      </c>
      <c r="B540" t="s">
        <v>481</v>
      </c>
      <c r="C540">
        <v>51</v>
      </c>
      <c r="D540" t="s">
        <v>12</v>
      </c>
      <c r="E540" t="s">
        <v>102</v>
      </c>
      <c r="F540" t="s">
        <v>27</v>
      </c>
      <c r="G540" s="1">
        <v>46013</v>
      </c>
      <c r="H540" s="1">
        <v>46020</v>
      </c>
      <c r="I540">
        <v>7</v>
      </c>
      <c r="J540">
        <v>42833</v>
      </c>
    </row>
    <row r="541" spans="1:10" x14ac:dyDescent="0.3">
      <c r="A541" t="s">
        <v>715</v>
      </c>
      <c r="B541" t="s">
        <v>181</v>
      </c>
      <c r="C541">
        <v>45</v>
      </c>
      <c r="D541" t="s">
        <v>17</v>
      </c>
      <c r="E541" t="s">
        <v>18</v>
      </c>
      <c r="F541" t="s">
        <v>23</v>
      </c>
      <c r="G541" s="1">
        <v>45756</v>
      </c>
      <c r="H541" s="1">
        <v>45760</v>
      </c>
      <c r="I541">
        <v>4</v>
      </c>
      <c r="J541">
        <v>33140</v>
      </c>
    </row>
    <row r="542" spans="1:10" x14ac:dyDescent="0.3">
      <c r="A542" t="s">
        <v>716</v>
      </c>
      <c r="B542" t="s">
        <v>397</v>
      </c>
      <c r="C542">
        <v>90</v>
      </c>
      <c r="D542" t="s">
        <v>17</v>
      </c>
      <c r="E542" t="s">
        <v>26</v>
      </c>
      <c r="F542" t="s">
        <v>19</v>
      </c>
      <c r="G542" s="1">
        <v>45704</v>
      </c>
      <c r="H542" s="1">
        <v>45713</v>
      </c>
      <c r="I542">
        <v>9</v>
      </c>
      <c r="J542">
        <v>83871</v>
      </c>
    </row>
    <row r="543" spans="1:10" x14ac:dyDescent="0.3">
      <c r="A543" t="s">
        <v>717</v>
      </c>
      <c r="B543" t="s">
        <v>301</v>
      </c>
      <c r="C543">
        <v>65</v>
      </c>
      <c r="D543" t="s">
        <v>12</v>
      </c>
      <c r="E543" t="s">
        <v>33</v>
      </c>
      <c r="F543" t="s">
        <v>19</v>
      </c>
      <c r="G543" s="1">
        <v>45856</v>
      </c>
      <c r="H543" s="1">
        <v>45866</v>
      </c>
      <c r="I543">
        <v>10</v>
      </c>
      <c r="J543">
        <v>76440</v>
      </c>
    </row>
    <row r="544" spans="1:10" x14ac:dyDescent="0.3">
      <c r="A544" t="s">
        <v>718</v>
      </c>
      <c r="B544" t="s">
        <v>158</v>
      </c>
      <c r="C544">
        <v>18</v>
      </c>
      <c r="D544" t="s">
        <v>12</v>
      </c>
      <c r="E544" t="s">
        <v>30</v>
      </c>
      <c r="F544" t="s">
        <v>27</v>
      </c>
      <c r="G544" s="1">
        <v>45987</v>
      </c>
      <c r="H544" s="1">
        <v>45988</v>
      </c>
      <c r="I544">
        <v>1</v>
      </c>
      <c r="J544">
        <v>9170</v>
      </c>
    </row>
    <row r="545" spans="1:10" x14ac:dyDescent="0.3">
      <c r="A545" t="s">
        <v>719</v>
      </c>
      <c r="B545" t="s">
        <v>123</v>
      </c>
      <c r="C545">
        <v>33</v>
      </c>
      <c r="D545" t="s">
        <v>17</v>
      </c>
      <c r="E545" t="s">
        <v>22</v>
      </c>
      <c r="F545" t="s">
        <v>19</v>
      </c>
      <c r="G545" s="1">
        <v>45703</v>
      </c>
      <c r="H545" s="1">
        <v>45706</v>
      </c>
      <c r="I545">
        <v>3</v>
      </c>
      <c r="J545">
        <v>33321</v>
      </c>
    </row>
    <row r="546" spans="1:10" x14ac:dyDescent="0.3">
      <c r="A546" t="s">
        <v>720</v>
      </c>
      <c r="B546" t="s">
        <v>207</v>
      </c>
      <c r="C546">
        <v>76</v>
      </c>
      <c r="D546" t="s">
        <v>12</v>
      </c>
      <c r="E546" t="s">
        <v>102</v>
      </c>
      <c r="F546" t="s">
        <v>27</v>
      </c>
      <c r="G546" s="1">
        <v>45751</v>
      </c>
      <c r="H546" s="1">
        <v>45758</v>
      </c>
      <c r="I546">
        <v>7</v>
      </c>
      <c r="J546">
        <v>51142</v>
      </c>
    </row>
    <row r="547" spans="1:10" x14ac:dyDescent="0.3">
      <c r="A547" t="s">
        <v>721</v>
      </c>
      <c r="B547" t="s">
        <v>682</v>
      </c>
      <c r="C547">
        <v>3</v>
      </c>
      <c r="D547" t="s">
        <v>12</v>
      </c>
      <c r="E547" t="s">
        <v>39</v>
      </c>
      <c r="F547" t="s">
        <v>62</v>
      </c>
      <c r="G547" s="1">
        <v>46006</v>
      </c>
      <c r="H547" s="1">
        <v>46008</v>
      </c>
      <c r="I547">
        <v>2</v>
      </c>
      <c r="J547">
        <v>18772</v>
      </c>
    </row>
    <row r="548" spans="1:10" x14ac:dyDescent="0.3">
      <c r="A548" t="s">
        <v>722</v>
      </c>
      <c r="B548" t="s">
        <v>217</v>
      </c>
      <c r="C548">
        <v>18</v>
      </c>
      <c r="D548" t="s">
        <v>12</v>
      </c>
      <c r="E548" t="s">
        <v>48</v>
      </c>
      <c r="F548" t="s">
        <v>19</v>
      </c>
      <c r="G548" s="1">
        <v>45804</v>
      </c>
      <c r="H548" s="1">
        <v>45814</v>
      </c>
      <c r="I548">
        <v>10</v>
      </c>
      <c r="J548">
        <v>97130</v>
      </c>
    </row>
    <row r="549" spans="1:10" x14ac:dyDescent="0.3">
      <c r="A549" t="s">
        <v>723</v>
      </c>
      <c r="B549" t="s">
        <v>411</v>
      </c>
      <c r="C549">
        <v>72</v>
      </c>
      <c r="D549" t="s">
        <v>17</v>
      </c>
      <c r="E549" t="s">
        <v>30</v>
      </c>
      <c r="F549" t="s">
        <v>23</v>
      </c>
      <c r="G549" s="1">
        <v>45793</v>
      </c>
      <c r="H549" s="1">
        <v>45797</v>
      </c>
      <c r="I549">
        <v>4</v>
      </c>
      <c r="J549">
        <v>29464</v>
      </c>
    </row>
    <row r="550" spans="1:10" x14ac:dyDescent="0.3">
      <c r="A550" t="s">
        <v>724</v>
      </c>
      <c r="B550" t="s">
        <v>245</v>
      </c>
      <c r="C550">
        <v>26</v>
      </c>
      <c r="D550" t="s">
        <v>12</v>
      </c>
      <c r="E550" t="s">
        <v>45</v>
      </c>
      <c r="F550" t="s">
        <v>62</v>
      </c>
      <c r="G550" s="1">
        <v>45684</v>
      </c>
      <c r="H550" s="1">
        <v>45689</v>
      </c>
      <c r="I550">
        <v>5</v>
      </c>
      <c r="J550">
        <v>41480</v>
      </c>
    </row>
    <row r="551" spans="1:10" x14ac:dyDescent="0.3">
      <c r="A551" t="s">
        <v>725</v>
      </c>
      <c r="B551" t="s">
        <v>148</v>
      </c>
      <c r="C551">
        <v>82</v>
      </c>
      <c r="D551" t="s">
        <v>17</v>
      </c>
      <c r="E551" t="s">
        <v>26</v>
      </c>
      <c r="F551" t="s">
        <v>23</v>
      </c>
      <c r="G551" s="1">
        <v>45806</v>
      </c>
      <c r="H551" s="1">
        <v>45811</v>
      </c>
      <c r="I551">
        <v>5</v>
      </c>
      <c r="J551">
        <v>38205</v>
      </c>
    </row>
    <row r="552" spans="1:10" x14ac:dyDescent="0.3">
      <c r="A552" t="s">
        <v>726</v>
      </c>
      <c r="B552" t="s">
        <v>471</v>
      </c>
      <c r="C552">
        <v>18</v>
      </c>
      <c r="D552" t="s">
        <v>17</v>
      </c>
      <c r="E552" t="s">
        <v>13</v>
      </c>
      <c r="F552" t="s">
        <v>19</v>
      </c>
      <c r="G552" s="1">
        <v>45756</v>
      </c>
      <c r="H552" s="1">
        <v>45762</v>
      </c>
      <c r="I552">
        <v>6</v>
      </c>
      <c r="J552">
        <v>69876</v>
      </c>
    </row>
    <row r="553" spans="1:10" x14ac:dyDescent="0.3">
      <c r="A553" t="s">
        <v>727</v>
      </c>
      <c r="B553" t="s">
        <v>366</v>
      </c>
      <c r="C553">
        <v>1</v>
      </c>
      <c r="D553" t="s">
        <v>12</v>
      </c>
      <c r="E553" t="s">
        <v>39</v>
      </c>
      <c r="F553" t="s">
        <v>62</v>
      </c>
      <c r="G553" s="1">
        <v>45762</v>
      </c>
      <c r="H553" s="1">
        <v>45774</v>
      </c>
      <c r="I553">
        <v>12</v>
      </c>
      <c r="J553">
        <v>128760</v>
      </c>
    </row>
    <row r="554" spans="1:10" x14ac:dyDescent="0.3">
      <c r="A554" t="s">
        <v>728</v>
      </c>
      <c r="B554" t="s">
        <v>461</v>
      </c>
      <c r="C554">
        <v>74</v>
      </c>
      <c r="D554" t="s">
        <v>12</v>
      </c>
      <c r="E554" t="s">
        <v>39</v>
      </c>
      <c r="F554" t="s">
        <v>27</v>
      </c>
      <c r="G554" s="1">
        <v>45754</v>
      </c>
      <c r="H554" s="1">
        <v>45767</v>
      </c>
      <c r="I554">
        <v>13</v>
      </c>
      <c r="J554">
        <v>63960</v>
      </c>
    </row>
    <row r="555" spans="1:10" x14ac:dyDescent="0.3">
      <c r="A555" t="s">
        <v>729</v>
      </c>
      <c r="B555" t="s">
        <v>303</v>
      </c>
      <c r="C555">
        <v>8</v>
      </c>
      <c r="D555" t="s">
        <v>12</v>
      </c>
      <c r="E555" t="s">
        <v>102</v>
      </c>
      <c r="F555" t="s">
        <v>23</v>
      </c>
      <c r="G555" s="1">
        <v>45693</v>
      </c>
      <c r="H555" s="1">
        <v>45702</v>
      </c>
      <c r="I555">
        <v>9</v>
      </c>
      <c r="J555">
        <v>94833</v>
      </c>
    </row>
    <row r="556" spans="1:10" x14ac:dyDescent="0.3">
      <c r="A556" t="s">
        <v>730</v>
      </c>
      <c r="B556" t="s">
        <v>626</v>
      </c>
      <c r="C556">
        <v>71</v>
      </c>
      <c r="D556" t="s">
        <v>17</v>
      </c>
      <c r="E556" t="s">
        <v>45</v>
      </c>
      <c r="F556" t="s">
        <v>59</v>
      </c>
      <c r="G556" s="1">
        <v>45779</v>
      </c>
      <c r="H556" s="1">
        <v>45785</v>
      </c>
      <c r="I556">
        <v>6</v>
      </c>
      <c r="J556">
        <v>35988</v>
      </c>
    </row>
    <row r="557" spans="1:10" x14ac:dyDescent="0.3">
      <c r="A557" t="s">
        <v>731</v>
      </c>
      <c r="B557" t="s">
        <v>171</v>
      </c>
      <c r="C557">
        <v>6</v>
      </c>
      <c r="D557" t="s">
        <v>17</v>
      </c>
      <c r="E557" t="s">
        <v>45</v>
      </c>
      <c r="F557" t="s">
        <v>62</v>
      </c>
      <c r="G557" s="1">
        <v>45684</v>
      </c>
      <c r="H557" s="1">
        <v>45685</v>
      </c>
      <c r="I557">
        <v>1</v>
      </c>
      <c r="J557">
        <v>11603</v>
      </c>
    </row>
    <row r="558" spans="1:10" x14ac:dyDescent="0.3">
      <c r="A558" t="s">
        <v>732</v>
      </c>
      <c r="B558" t="s">
        <v>550</v>
      </c>
      <c r="C558">
        <v>7</v>
      </c>
      <c r="D558" t="s">
        <v>17</v>
      </c>
      <c r="E558" t="s">
        <v>13</v>
      </c>
      <c r="F558" t="s">
        <v>62</v>
      </c>
      <c r="G558" s="1">
        <v>45923</v>
      </c>
      <c r="H558" s="1">
        <v>45935</v>
      </c>
      <c r="I558">
        <v>12</v>
      </c>
      <c r="J558">
        <v>56556</v>
      </c>
    </row>
    <row r="559" spans="1:10" x14ac:dyDescent="0.3">
      <c r="A559" t="s">
        <v>733</v>
      </c>
      <c r="B559" t="s">
        <v>54</v>
      </c>
      <c r="C559">
        <v>69</v>
      </c>
      <c r="D559" t="s">
        <v>12</v>
      </c>
      <c r="E559" t="s">
        <v>30</v>
      </c>
      <c r="F559" t="s">
        <v>59</v>
      </c>
      <c r="G559" s="1">
        <v>45662</v>
      </c>
      <c r="H559" s="1">
        <v>45672</v>
      </c>
      <c r="I559">
        <v>10</v>
      </c>
      <c r="J559">
        <v>107890</v>
      </c>
    </row>
    <row r="560" spans="1:10" x14ac:dyDescent="0.3">
      <c r="A560" t="s">
        <v>734</v>
      </c>
      <c r="B560" t="s">
        <v>185</v>
      </c>
      <c r="C560">
        <v>80</v>
      </c>
      <c r="D560" t="s">
        <v>17</v>
      </c>
      <c r="E560" t="s">
        <v>26</v>
      </c>
      <c r="F560" t="s">
        <v>42</v>
      </c>
      <c r="G560" s="1">
        <v>45948</v>
      </c>
      <c r="H560" s="1">
        <v>45962</v>
      </c>
      <c r="I560">
        <v>14</v>
      </c>
      <c r="J560">
        <v>70420</v>
      </c>
    </row>
    <row r="561" spans="1:10" x14ac:dyDescent="0.3">
      <c r="A561" t="s">
        <v>735</v>
      </c>
      <c r="B561" t="s">
        <v>61</v>
      </c>
      <c r="C561">
        <v>25</v>
      </c>
      <c r="D561" t="s">
        <v>12</v>
      </c>
      <c r="E561" t="s">
        <v>13</v>
      </c>
      <c r="F561" t="s">
        <v>19</v>
      </c>
      <c r="G561" s="1">
        <v>45800</v>
      </c>
      <c r="H561" s="1">
        <v>45802</v>
      </c>
      <c r="I561">
        <v>2</v>
      </c>
      <c r="J561">
        <v>19402</v>
      </c>
    </row>
    <row r="562" spans="1:10" x14ac:dyDescent="0.3">
      <c r="A562" t="s">
        <v>736</v>
      </c>
      <c r="B562" t="s">
        <v>11</v>
      </c>
      <c r="C562">
        <v>48</v>
      </c>
      <c r="D562" t="s">
        <v>17</v>
      </c>
      <c r="E562" t="s">
        <v>26</v>
      </c>
      <c r="F562" t="s">
        <v>34</v>
      </c>
      <c r="G562" s="1">
        <v>45857</v>
      </c>
      <c r="H562" s="1">
        <v>45862</v>
      </c>
      <c r="I562">
        <v>5</v>
      </c>
      <c r="J562">
        <v>33420</v>
      </c>
    </row>
    <row r="563" spans="1:10" x14ac:dyDescent="0.3">
      <c r="A563" t="s">
        <v>737</v>
      </c>
      <c r="B563" t="s">
        <v>134</v>
      </c>
      <c r="C563">
        <v>38</v>
      </c>
      <c r="D563" t="s">
        <v>12</v>
      </c>
      <c r="E563" t="s">
        <v>13</v>
      </c>
      <c r="F563" t="s">
        <v>59</v>
      </c>
      <c r="G563" s="1">
        <v>45861</v>
      </c>
      <c r="H563" s="1">
        <v>45870</v>
      </c>
      <c r="I563">
        <v>9</v>
      </c>
      <c r="J563">
        <v>77445</v>
      </c>
    </row>
    <row r="564" spans="1:10" x14ac:dyDescent="0.3">
      <c r="A564" t="s">
        <v>738</v>
      </c>
      <c r="B564" t="s">
        <v>61</v>
      </c>
      <c r="C564">
        <v>18</v>
      </c>
      <c r="D564" t="s">
        <v>12</v>
      </c>
      <c r="E564" t="s">
        <v>48</v>
      </c>
      <c r="F564" t="s">
        <v>62</v>
      </c>
      <c r="G564" s="1">
        <v>45864</v>
      </c>
      <c r="H564" s="1">
        <v>45870</v>
      </c>
      <c r="I564">
        <v>6</v>
      </c>
      <c r="J564">
        <v>26058</v>
      </c>
    </row>
    <row r="565" spans="1:10" x14ac:dyDescent="0.3">
      <c r="A565" t="s">
        <v>739</v>
      </c>
      <c r="B565" t="s">
        <v>139</v>
      </c>
      <c r="C565">
        <v>87</v>
      </c>
      <c r="D565" t="s">
        <v>12</v>
      </c>
      <c r="E565" t="s">
        <v>26</v>
      </c>
      <c r="F565" t="s">
        <v>34</v>
      </c>
      <c r="G565" s="1">
        <v>45730</v>
      </c>
      <c r="H565" s="1">
        <v>45736</v>
      </c>
      <c r="I565">
        <v>6</v>
      </c>
      <c r="J565">
        <v>50238</v>
      </c>
    </row>
    <row r="566" spans="1:10" x14ac:dyDescent="0.3">
      <c r="A566" t="s">
        <v>740</v>
      </c>
      <c r="B566" t="s">
        <v>96</v>
      </c>
      <c r="C566">
        <v>75</v>
      </c>
      <c r="D566" t="s">
        <v>17</v>
      </c>
      <c r="E566" t="s">
        <v>39</v>
      </c>
      <c r="F566" t="s">
        <v>34</v>
      </c>
      <c r="G566" s="1">
        <v>45723</v>
      </c>
      <c r="H566" s="1">
        <v>45734</v>
      </c>
      <c r="I566">
        <v>11</v>
      </c>
      <c r="J566">
        <v>68046</v>
      </c>
    </row>
    <row r="567" spans="1:10" x14ac:dyDescent="0.3">
      <c r="A567" t="s">
        <v>741</v>
      </c>
      <c r="B567" t="s">
        <v>158</v>
      </c>
      <c r="C567">
        <v>82</v>
      </c>
      <c r="D567" t="s">
        <v>12</v>
      </c>
      <c r="E567" t="s">
        <v>26</v>
      </c>
      <c r="F567" t="s">
        <v>19</v>
      </c>
      <c r="G567" s="1">
        <v>46020</v>
      </c>
      <c r="H567" s="1">
        <v>46024</v>
      </c>
      <c r="I567">
        <v>4</v>
      </c>
      <c r="J567">
        <v>35052</v>
      </c>
    </row>
    <row r="568" spans="1:10" x14ac:dyDescent="0.3">
      <c r="A568" t="s">
        <v>742</v>
      </c>
      <c r="B568" t="s">
        <v>178</v>
      </c>
      <c r="C568">
        <v>29</v>
      </c>
      <c r="D568" t="s">
        <v>17</v>
      </c>
      <c r="E568" t="s">
        <v>39</v>
      </c>
      <c r="F568" t="s">
        <v>27</v>
      </c>
      <c r="G568" s="1">
        <v>45885</v>
      </c>
      <c r="H568" s="1">
        <v>45896</v>
      </c>
      <c r="I568">
        <v>11</v>
      </c>
      <c r="J568">
        <v>104500</v>
      </c>
    </row>
    <row r="569" spans="1:10" x14ac:dyDescent="0.3">
      <c r="A569" t="s">
        <v>743</v>
      </c>
      <c r="B569" t="s">
        <v>426</v>
      </c>
      <c r="C569">
        <v>27</v>
      </c>
      <c r="D569" t="s">
        <v>12</v>
      </c>
      <c r="E569" t="s">
        <v>39</v>
      </c>
      <c r="F569" t="s">
        <v>23</v>
      </c>
      <c r="G569" s="1">
        <v>45920</v>
      </c>
      <c r="H569" s="1">
        <v>45933</v>
      </c>
      <c r="I569">
        <v>13</v>
      </c>
      <c r="J569">
        <v>69940</v>
      </c>
    </row>
    <row r="570" spans="1:10" x14ac:dyDescent="0.3">
      <c r="A570" t="s">
        <v>744</v>
      </c>
      <c r="B570" t="s">
        <v>656</v>
      </c>
      <c r="C570">
        <v>57</v>
      </c>
      <c r="D570" t="s">
        <v>17</v>
      </c>
      <c r="E570" t="s">
        <v>39</v>
      </c>
      <c r="F570" t="s">
        <v>23</v>
      </c>
      <c r="G570" s="1">
        <v>45805</v>
      </c>
      <c r="H570" s="1">
        <v>45812</v>
      </c>
      <c r="I570">
        <v>7</v>
      </c>
      <c r="J570">
        <v>53011</v>
      </c>
    </row>
    <row r="571" spans="1:10" x14ac:dyDescent="0.3">
      <c r="A571" t="s">
        <v>745</v>
      </c>
      <c r="B571" t="s">
        <v>467</v>
      </c>
      <c r="C571">
        <v>64</v>
      </c>
      <c r="D571" t="s">
        <v>17</v>
      </c>
      <c r="E571" t="s">
        <v>39</v>
      </c>
      <c r="F571" t="s">
        <v>23</v>
      </c>
      <c r="G571" s="1">
        <v>45854</v>
      </c>
      <c r="H571" s="1">
        <v>45857</v>
      </c>
      <c r="I571">
        <v>3</v>
      </c>
      <c r="J571">
        <v>32493</v>
      </c>
    </row>
    <row r="572" spans="1:10" x14ac:dyDescent="0.3">
      <c r="A572" t="s">
        <v>746</v>
      </c>
      <c r="B572" t="s">
        <v>61</v>
      </c>
      <c r="C572">
        <v>63</v>
      </c>
      <c r="D572" t="s">
        <v>12</v>
      </c>
      <c r="E572" t="s">
        <v>33</v>
      </c>
      <c r="F572" t="s">
        <v>27</v>
      </c>
      <c r="G572" s="1">
        <v>45800</v>
      </c>
      <c r="H572" s="1">
        <v>45802</v>
      </c>
      <c r="I572">
        <v>2</v>
      </c>
      <c r="J572">
        <v>23140</v>
      </c>
    </row>
    <row r="573" spans="1:10" x14ac:dyDescent="0.3">
      <c r="A573" t="s">
        <v>747</v>
      </c>
      <c r="B573" t="s">
        <v>397</v>
      </c>
      <c r="C573">
        <v>27</v>
      </c>
      <c r="D573" t="s">
        <v>12</v>
      </c>
      <c r="E573" t="s">
        <v>13</v>
      </c>
      <c r="F573" t="s">
        <v>23</v>
      </c>
      <c r="G573" s="1">
        <v>45838</v>
      </c>
      <c r="H573" s="1">
        <v>45852</v>
      </c>
      <c r="I573">
        <v>14</v>
      </c>
      <c r="J573">
        <v>105392</v>
      </c>
    </row>
    <row r="574" spans="1:10" x14ac:dyDescent="0.3">
      <c r="A574" t="s">
        <v>748</v>
      </c>
      <c r="B574" t="s">
        <v>455</v>
      </c>
      <c r="C574">
        <v>19</v>
      </c>
      <c r="D574" t="s">
        <v>12</v>
      </c>
      <c r="E574" t="s">
        <v>30</v>
      </c>
      <c r="F574" t="s">
        <v>27</v>
      </c>
      <c r="G574" s="1">
        <v>45975</v>
      </c>
      <c r="H574" s="1">
        <v>45976</v>
      </c>
      <c r="I574">
        <v>1</v>
      </c>
      <c r="J574">
        <v>8623</v>
      </c>
    </row>
    <row r="575" spans="1:10" x14ac:dyDescent="0.3">
      <c r="A575" t="s">
        <v>749</v>
      </c>
      <c r="B575" t="s">
        <v>377</v>
      </c>
      <c r="C575">
        <v>13</v>
      </c>
      <c r="D575" t="s">
        <v>17</v>
      </c>
      <c r="E575" t="s">
        <v>30</v>
      </c>
      <c r="F575" t="s">
        <v>14</v>
      </c>
      <c r="G575" s="1">
        <v>45972</v>
      </c>
      <c r="H575" s="1">
        <v>45980</v>
      </c>
      <c r="I575">
        <v>8</v>
      </c>
      <c r="J575">
        <v>43256</v>
      </c>
    </row>
    <row r="576" spans="1:10" x14ac:dyDescent="0.3">
      <c r="A576" t="s">
        <v>750</v>
      </c>
      <c r="B576" t="s">
        <v>341</v>
      </c>
      <c r="C576">
        <v>23</v>
      </c>
      <c r="D576" t="s">
        <v>17</v>
      </c>
      <c r="E576" t="s">
        <v>39</v>
      </c>
      <c r="F576" t="s">
        <v>23</v>
      </c>
      <c r="G576" s="1">
        <v>45755</v>
      </c>
      <c r="H576" s="1">
        <v>45767</v>
      </c>
      <c r="I576">
        <v>12</v>
      </c>
      <c r="J576">
        <v>68928</v>
      </c>
    </row>
    <row r="577" spans="1:10" x14ac:dyDescent="0.3">
      <c r="A577" t="s">
        <v>751</v>
      </c>
      <c r="B577" t="s">
        <v>484</v>
      </c>
      <c r="C577">
        <v>43</v>
      </c>
      <c r="D577" t="s">
        <v>17</v>
      </c>
      <c r="E577" t="s">
        <v>13</v>
      </c>
      <c r="F577" t="s">
        <v>14</v>
      </c>
      <c r="G577" s="1">
        <v>45721</v>
      </c>
      <c r="H577" s="1">
        <v>45729</v>
      </c>
      <c r="I577">
        <v>8</v>
      </c>
      <c r="J577">
        <v>94072</v>
      </c>
    </row>
    <row r="578" spans="1:10" x14ac:dyDescent="0.3">
      <c r="A578" t="s">
        <v>752</v>
      </c>
      <c r="B578" t="s">
        <v>682</v>
      </c>
      <c r="C578">
        <v>65</v>
      </c>
      <c r="D578" t="s">
        <v>17</v>
      </c>
      <c r="E578" t="s">
        <v>22</v>
      </c>
      <c r="F578" t="s">
        <v>42</v>
      </c>
      <c r="G578" s="1">
        <v>46012</v>
      </c>
      <c r="H578" s="1">
        <v>46019</v>
      </c>
      <c r="I578">
        <v>7</v>
      </c>
      <c r="J578">
        <v>68271</v>
      </c>
    </row>
    <row r="579" spans="1:10" x14ac:dyDescent="0.3">
      <c r="A579" t="s">
        <v>753</v>
      </c>
      <c r="B579" t="s">
        <v>306</v>
      </c>
      <c r="C579">
        <v>82</v>
      </c>
      <c r="D579" t="s">
        <v>12</v>
      </c>
      <c r="E579" t="s">
        <v>39</v>
      </c>
      <c r="F579" t="s">
        <v>27</v>
      </c>
      <c r="G579" s="1">
        <v>45982</v>
      </c>
      <c r="H579" s="1">
        <v>45993</v>
      </c>
      <c r="I579">
        <v>11</v>
      </c>
      <c r="J579">
        <v>103917</v>
      </c>
    </row>
    <row r="580" spans="1:10" x14ac:dyDescent="0.3">
      <c r="A580" t="s">
        <v>754</v>
      </c>
      <c r="B580" t="s">
        <v>164</v>
      </c>
      <c r="C580">
        <v>8</v>
      </c>
      <c r="D580" t="s">
        <v>12</v>
      </c>
      <c r="E580" t="s">
        <v>30</v>
      </c>
      <c r="F580" t="s">
        <v>19</v>
      </c>
      <c r="G580" s="1">
        <v>45826</v>
      </c>
      <c r="H580" s="1">
        <v>45839</v>
      </c>
      <c r="I580">
        <v>13</v>
      </c>
      <c r="J580">
        <v>87295</v>
      </c>
    </row>
    <row r="581" spans="1:10" x14ac:dyDescent="0.3">
      <c r="A581" t="s">
        <v>755</v>
      </c>
      <c r="B581" t="s">
        <v>579</v>
      </c>
      <c r="C581">
        <v>65</v>
      </c>
      <c r="D581" t="s">
        <v>12</v>
      </c>
      <c r="E581" t="s">
        <v>102</v>
      </c>
      <c r="F581" t="s">
        <v>27</v>
      </c>
      <c r="G581" s="1">
        <v>45871</v>
      </c>
      <c r="H581" s="1">
        <v>45881</v>
      </c>
      <c r="I581">
        <v>10</v>
      </c>
      <c r="J581">
        <v>56800</v>
      </c>
    </row>
    <row r="582" spans="1:10" x14ac:dyDescent="0.3">
      <c r="A582" t="s">
        <v>756</v>
      </c>
      <c r="B582" t="s">
        <v>626</v>
      </c>
      <c r="C582">
        <v>58</v>
      </c>
      <c r="D582" t="s">
        <v>12</v>
      </c>
      <c r="E582" t="s">
        <v>45</v>
      </c>
      <c r="F582" t="s">
        <v>42</v>
      </c>
      <c r="G582" s="1">
        <v>45826</v>
      </c>
      <c r="H582" s="1">
        <v>45841</v>
      </c>
      <c r="I582">
        <v>15</v>
      </c>
      <c r="J582">
        <v>86625</v>
      </c>
    </row>
    <row r="583" spans="1:10" x14ac:dyDescent="0.3">
      <c r="A583" t="s">
        <v>757</v>
      </c>
      <c r="B583" t="s">
        <v>712</v>
      </c>
      <c r="C583">
        <v>65</v>
      </c>
      <c r="D583" t="s">
        <v>17</v>
      </c>
      <c r="E583" t="s">
        <v>26</v>
      </c>
      <c r="F583" t="s">
        <v>23</v>
      </c>
      <c r="G583" s="1">
        <v>45713</v>
      </c>
      <c r="H583" s="1">
        <v>45721</v>
      </c>
      <c r="I583">
        <v>8</v>
      </c>
      <c r="J583">
        <v>93264</v>
      </c>
    </row>
    <row r="584" spans="1:10" x14ac:dyDescent="0.3">
      <c r="A584" t="s">
        <v>758</v>
      </c>
      <c r="B584" t="s">
        <v>759</v>
      </c>
      <c r="C584">
        <v>70</v>
      </c>
      <c r="D584" t="s">
        <v>12</v>
      </c>
      <c r="E584" t="s">
        <v>39</v>
      </c>
      <c r="F584" t="s">
        <v>19</v>
      </c>
      <c r="G584" s="1">
        <v>45818</v>
      </c>
      <c r="H584" s="1">
        <v>45827</v>
      </c>
      <c r="I584">
        <v>9</v>
      </c>
      <c r="J584">
        <v>44496</v>
      </c>
    </row>
    <row r="585" spans="1:10" x14ac:dyDescent="0.3">
      <c r="A585" t="s">
        <v>760</v>
      </c>
      <c r="B585" t="s">
        <v>84</v>
      </c>
      <c r="C585">
        <v>70</v>
      </c>
      <c r="D585" t="s">
        <v>12</v>
      </c>
      <c r="E585" t="s">
        <v>30</v>
      </c>
      <c r="F585" t="s">
        <v>34</v>
      </c>
      <c r="G585" s="1">
        <v>45752</v>
      </c>
      <c r="H585" s="1">
        <v>45763</v>
      </c>
      <c r="I585">
        <v>11</v>
      </c>
      <c r="J585">
        <v>46156</v>
      </c>
    </row>
    <row r="586" spans="1:10" x14ac:dyDescent="0.3">
      <c r="A586" t="s">
        <v>761</v>
      </c>
      <c r="B586" t="s">
        <v>132</v>
      </c>
      <c r="C586">
        <v>28</v>
      </c>
      <c r="D586" t="s">
        <v>17</v>
      </c>
      <c r="E586" t="s">
        <v>45</v>
      </c>
      <c r="F586" t="s">
        <v>34</v>
      </c>
      <c r="G586" s="1">
        <v>45955</v>
      </c>
      <c r="H586" s="1">
        <v>45958</v>
      </c>
      <c r="I586">
        <v>3</v>
      </c>
      <c r="J586">
        <v>31863</v>
      </c>
    </row>
    <row r="587" spans="1:10" x14ac:dyDescent="0.3">
      <c r="A587" t="s">
        <v>762</v>
      </c>
      <c r="B587" t="s">
        <v>116</v>
      </c>
      <c r="C587">
        <v>89</v>
      </c>
      <c r="D587" t="s">
        <v>12</v>
      </c>
      <c r="E587" t="s">
        <v>18</v>
      </c>
      <c r="F587" t="s">
        <v>62</v>
      </c>
      <c r="G587" s="1">
        <v>45928</v>
      </c>
      <c r="H587" s="1">
        <v>45937</v>
      </c>
      <c r="I587">
        <v>9</v>
      </c>
      <c r="J587">
        <v>85428</v>
      </c>
    </row>
    <row r="588" spans="1:10" x14ac:dyDescent="0.3">
      <c r="A588" t="s">
        <v>763</v>
      </c>
      <c r="B588" t="s">
        <v>366</v>
      </c>
      <c r="C588">
        <v>46</v>
      </c>
      <c r="D588" t="s">
        <v>12</v>
      </c>
      <c r="E588" t="s">
        <v>33</v>
      </c>
      <c r="F588" t="s">
        <v>14</v>
      </c>
      <c r="G588" s="1">
        <v>45938</v>
      </c>
      <c r="H588" s="1">
        <v>45949</v>
      </c>
      <c r="I588">
        <v>11</v>
      </c>
      <c r="J588">
        <v>106447</v>
      </c>
    </row>
    <row r="589" spans="1:10" x14ac:dyDescent="0.3">
      <c r="A589" t="s">
        <v>764</v>
      </c>
      <c r="B589" t="s">
        <v>16</v>
      </c>
      <c r="C589">
        <v>84</v>
      </c>
      <c r="D589" t="s">
        <v>12</v>
      </c>
      <c r="E589" t="s">
        <v>102</v>
      </c>
      <c r="F589" t="s">
        <v>19</v>
      </c>
      <c r="G589" s="1">
        <v>45992</v>
      </c>
      <c r="H589" s="1">
        <v>45994</v>
      </c>
      <c r="I589">
        <v>2</v>
      </c>
      <c r="J589">
        <v>22990</v>
      </c>
    </row>
    <row r="590" spans="1:10" x14ac:dyDescent="0.3">
      <c r="A590" t="s">
        <v>765</v>
      </c>
      <c r="B590" t="s">
        <v>203</v>
      </c>
      <c r="C590">
        <v>83</v>
      </c>
      <c r="D590" t="s">
        <v>17</v>
      </c>
      <c r="E590" t="s">
        <v>22</v>
      </c>
      <c r="F590" t="s">
        <v>42</v>
      </c>
      <c r="G590" s="1">
        <v>45906</v>
      </c>
      <c r="H590" s="1">
        <v>45916</v>
      </c>
      <c r="I590">
        <v>10</v>
      </c>
      <c r="J590">
        <v>117330</v>
      </c>
    </row>
    <row r="591" spans="1:10" x14ac:dyDescent="0.3">
      <c r="A591" t="s">
        <v>766</v>
      </c>
      <c r="B591" t="s">
        <v>330</v>
      </c>
      <c r="C591">
        <v>20</v>
      </c>
      <c r="D591" t="s">
        <v>17</v>
      </c>
      <c r="E591" t="s">
        <v>22</v>
      </c>
      <c r="F591" t="s">
        <v>59</v>
      </c>
      <c r="G591" s="1">
        <v>45992</v>
      </c>
      <c r="H591" s="1">
        <v>46005</v>
      </c>
      <c r="I591">
        <v>13</v>
      </c>
      <c r="J591">
        <v>148655</v>
      </c>
    </row>
    <row r="592" spans="1:10" x14ac:dyDescent="0.3">
      <c r="A592" t="s">
        <v>767</v>
      </c>
      <c r="B592" t="s">
        <v>50</v>
      </c>
      <c r="C592">
        <v>69</v>
      </c>
      <c r="D592" t="s">
        <v>17</v>
      </c>
      <c r="E592" t="s">
        <v>13</v>
      </c>
      <c r="F592" t="s">
        <v>34</v>
      </c>
      <c r="G592" s="1">
        <v>45777</v>
      </c>
      <c r="H592" s="1">
        <v>45780</v>
      </c>
      <c r="I592">
        <v>3</v>
      </c>
      <c r="J592">
        <v>26247</v>
      </c>
    </row>
    <row r="593" spans="1:10" x14ac:dyDescent="0.3">
      <c r="A593" t="s">
        <v>768</v>
      </c>
      <c r="B593" t="s">
        <v>275</v>
      </c>
      <c r="C593">
        <v>86</v>
      </c>
      <c r="D593" t="s">
        <v>17</v>
      </c>
      <c r="E593" t="s">
        <v>26</v>
      </c>
      <c r="F593" t="s">
        <v>34</v>
      </c>
      <c r="G593" s="1">
        <v>45843</v>
      </c>
      <c r="H593" s="1">
        <v>45853</v>
      </c>
      <c r="I593">
        <v>10</v>
      </c>
      <c r="J593">
        <v>50100</v>
      </c>
    </row>
    <row r="594" spans="1:10" x14ac:dyDescent="0.3">
      <c r="A594" t="s">
        <v>769</v>
      </c>
      <c r="B594" t="s">
        <v>114</v>
      </c>
      <c r="C594">
        <v>84</v>
      </c>
      <c r="D594" t="s">
        <v>12</v>
      </c>
      <c r="E594" t="s">
        <v>26</v>
      </c>
      <c r="F594" t="s">
        <v>14</v>
      </c>
      <c r="G594" s="1">
        <v>45926</v>
      </c>
      <c r="H594" s="1">
        <v>45936</v>
      </c>
      <c r="I594">
        <v>10</v>
      </c>
      <c r="J594">
        <v>66970</v>
      </c>
    </row>
    <row r="595" spans="1:10" x14ac:dyDescent="0.3">
      <c r="A595" t="s">
        <v>770</v>
      </c>
      <c r="B595" t="s">
        <v>64</v>
      </c>
      <c r="C595">
        <v>84</v>
      </c>
      <c r="D595" t="s">
        <v>12</v>
      </c>
      <c r="E595" t="s">
        <v>13</v>
      </c>
      <c r="F595" t="s">
        <v>23</v>
      </c>
      <c r="G595" s="1">
        <v>45812</v>
      </c>
      <c r="H595" s="1">
        <v>45816</v>
      </c>
      <c r="I595">
        <v>4</v>
      </c>
      <c r="J595">
        <v>43984</v>
      </c>
    </row>
    <row r="596" spans="1:10" x14ac:dyDescent="0.3">
      <c r="A596" t="s">
        <v>771</v>
      </c>
      <c r="B596" t="s">
        <v>21</v>
      </c>
      <c r="C596">
        <v>26</v>
      </c>
      <c r="D596" t="s">
        <v>17</v>
      </c>
      <c r="E596" t="s">
        <v>48</v>
      </c>
      <c r="F596" t="s">
        <v>14</v>
      </c>
      <c r="G596" s="1">
        <v>45772</v>
      </c>
      <c r="H596" s="1">
        <v>45781</v>
      </c>
      <c r="I596">
        <v>9</v>
      </c>
      <c r="J596">
        <v>80982</v>
      </c>
    </row>
    <row r="597" spans="1:10" x14ac:dyDescent="0.3">
      <c r="A597" t="s">
        <v>772</v>
      </c>
      <c r="B597" t="s">
        <v>100</v>
      </c>
      <c r="C597">
        <v>70</v>
      </c>
      <c r="D597" t="s">
        <v>17</v>
      </c>
      <c r="E597" t="s">
        <v>26</v>
      </c>
      <c r="F597" t="s">
        <v>19</v>
      </c>
      <c r="G597" s="1">
        <v>45919</v>
      </c>
      <c r="H597" s="1">
        <v>45929</v>
      </c>
      <c r="I597">
        <v>10</v>
      </c>
      <c r="J597">
        <v>89190</v>
      </c>
    </row>
    <row r="598" spans="1:10" x14ac:dyDescent="0.3">
      <c r="A598" t="s">
        <v>773</v>
      </c>
      <c r="B598" t="s">
        <v>178</v>
      </c>
      <c r="C598">
        <v>36</v>
      </c>
      <c r="D598" t="s">
        <v>12</v>
      </c>
      <c r="E598" t="s">
        <v>13</v>
      </c>
      <c r="F598" t="s">
        <v>59</v>
      </c>
      <c r="G598" s="1">
        <v>45885</v>
      </c>
      <c r="H598" s="1">
        <v>45898</v>
      </c>
      <c r="I598">
        <v>13</v>
      </c>
      <c r="J598">
        <v>133419</v>
      </c>
    </row>
    <row r="599" spans="1:10" x14ac:dyDescent="0.3">
      <c r="A599" t="s">
        <v>774</v>
      </c>
      <c r="B599" t="s">
        <v>91</v>
      </c>
      <c r="C599">
        <v>69</v>
      </c>
      <c r="D599" t="s">
        <v>12</v>
      </c>
      <c r="E599" t="s">
        <v>13</v>
      </c>
      <c r="F599" t="s">
        <v>14</v>
      </c>
      <c r="G599" s="1">
        <v>45821</v>
      </c>
      <c r="H599" s="1">
        <v>45823</v>
      </c>
      <c r="I599">
        <v>2</v>
      </c>
      <c r="J599">
        <v>13730</v>
      </c>
    </row>
    <row r="600" spans="1:10" x14ac:dyDescent="0.3">
      <c r="A600" t="s">
        <v>775</v>
      </c>
      <c r="B600" t="s">
        <v>118</v>
      </c>
      <c r="C600">
        <v>15</v>
      </c>
      <c r="D600" t="s">
        <v>17</v>
      </c>
      <c r="E600" t="s">
        <v>26</v>
      </c>
      <c r="F600" t="s">
        <v>59</v>
      </c>
      <c r="G600" s="1">
        <v>45972</v>
      </c>
      <c r="H600" s="1">
        <v>45987</v>
      </c>
      <c r="I600">
        <v>15</v>
      </c>
      <c r="J600">
        <v>93120</v>
      </c>
    </row>
    <row r="601" spans="1:10" x14ac:dyDescent="0.3">
      <c r="A601" t="s">
        <v>776</v>
      </c>
      <c r="B601" t="s">
        <v>44</v>
      </c>
      <c r="C601">
        <v>11</v>
      </c>
      <c r="D601" t="s">
        <v>17</v>
      </c>
      <c r="E601" t="s">
        <v>13</v>
      </c>
      <c r="F601" t="s">
        <v>59</v>
      </c>
      <c r="G601" s="1">
        <v>45728</v>
      </c>
      <c r="H601" s="1">
        <v>45735</v>
      </c>
      <c r="I601">
        <v>7</v>
      </c>
      <c r="J601">
        <v>33054</v>
      </c>
    </row>
    <row r="602" spans="1:10" x14ac:dyDescent="0.3">
      <c r="A602" t="s">
        <v>777</v>
      </c>
      <c r="B602" t="s">
        <v>445</v>
      </c>
      <c r="C602">
        <v>10</v>
      </c>
      <c r="D602" t="s">
        <v>12</v>
      </c>
      <c r="E602" t="s">
        <v>13</v>
      </c>
      <c r="F602" t="s">
        <v>23</v>
      </c>
      <c r="G602" s="1">
        <v>46009</v>
      </c>
      <c r="H602" s="1">
        <v>46017</v>
      </c>
      <c r="I602">
        <v>8</v>
      </c>
      <c r="J602">
        <v>92288</v>
      </c>
    </row>
    <row r="603" spans="1:10" x14ac:dyDescent="0.3">
      <c r="A603" t="s">
        <v>778</v>
      </c>
      <c r="B603" t="s">
        <v>16</v>
      </c>
      <c r="C603">
        <v>65</v>
      </c>
      <c r="D603" t="s">
        <v>17</v>
      </c>
      <c r="E603" t="s">
        <v>45</v>
      </c>
      <c r="F603" t="s">
        <v>27</v>
      </c>
      <c r="G603" s="1">
        <v>45934</v>
      </c>
      <c r="H603" s="1">
        <v>45936</v>
      </c>
      <c r="I603">
        <v>2</v>
      </c>
      <c r="J603">
        <v>11510</v>
      </c>
    </row>
    <row r="604" spans="1:10" x14ac:dyDescent="0.3">
      <c r="A604" t="s">
        <v>779</v>
      </c>
      <c r="B604" t="s">
        <v>297</v>
      </c>
      <c r="C604">
        <v>59</v>
      </c>
      <c r="D604" t="s">
        <v>12</v>
      </c>
      <c r="E604" t="s">
        <v>102</v>
      </c>
      <c r="F604" t="s">
        <v>34</v>
      </c>
      <c r="G604" s="1">
        <v>45726</v>
      </c>
      <c r="H604" s="1">
        <v>45739</v>
      </c>
      <c r="I604">
        <v>13</v>
      </c>
      <c r="J604">
        <v>144092</v>
      </c>
    </row>
    <row r="605" spans="1:10" x14ac:dyDescent="0.3">
      <c r="A605" t="s">
        <v>780</v>
      </c>
      <c r="B605" t="s">
        <v>93</v>
      </c>
      <c r="C605">
        <v>47</v>
      </c>
      <c r="D605" t="s">
        <v>12</v>
      </c>
      <c r="E605" t="s">
        <v>22</v>
      </c>
      <c r="F605" t="s">
        <v>27</v>
      </c>
      <c r="G605" s="1">
        <v>45928</v>
      </c>
      <c r="H605" s="1">
        <v>45933</v>
      </c>
      <c r="I605">
        <v>5</v>
      </c>
      <c r="J605">
        <v>58525</v>
      </c>
    </row>
    <row r="606" spans="1:10" x14ac:dyDescent="0.3">
      <c r="A606" t="s">
        <v>781</v>
      </c>
      <c r="B606" t="s">
        <v>114</v>
      </c>
      <c r="C606">
        <v>86</v>
      </c>
      <c r="D606" t="s">
        <v>12</v>
      </c>
      <c r="E606" t="s">
        <v>33</v>
      </c>
      <c r="F606" t="s">
        <v>34</v>
      </c>
      <c r="G606" s="1">
        <v>45756</v>
      </c>
      <c r="H606" s="1">
        <v>45771</v>
      </c>
      <c r="I606">
        <v>15</v>
      </c>
      <c r="J606">
        <v>156840</v>
      </c>
    </row>
    <row r="607" spans="1:10" x14ac:dyDescent="0.3">
      <c r="A607" t="s">
        <v>782</v>
      </c>
      <c r="B607" t="s">
        <v>134</v>
      </c>
      <c r="C607">
        <v>18</v>
      </c>
      <c r="D607" t="s">
        <v>17</v>
      </c>
      <c r="E607" t="s">
        <v>39</v>
      </c>
      <c r="F607" t="s">
        <v>34</v>
      </c>
      <c r="G607" s="1">
        <v>45815</v>
      </c>
      <c r="H607" s="1">
        <v>45816</v>
      </c>
      <c r="I607">
        <v>1</v>
      </c>
      <c r="J607">
        <v>10018</v>
      </c>
    </row>
    <row r="608" spans="1:10" x14ac:dyDescent="0.3">
      <c r="A608" t="s">
        <v>783</v>
      </c>
      <c r="B608" t="s">
        <v>275</v>
      </c>
      <c r="C608">
        <v>9</v>
      </c>
      <c r="D608" t="s">
        <v>17</v>
      </c>
      <c r="E608" t="s">
        <v>22</v>
      </c>
      <c r="F608" t="s">
        <v>59</v>
      </c>
      <c r="G608" s="1">
        <v>45694</v>
      </c>
      <c r="H608" s="1">
        <v>45699</v>
      </c>
      <c r="I608">
        <v>5</v>
      </c>
      <c r="J608">
        <v>30815</v>
      </c>
    </row>
    <row r="609" spans="1:10" x14ac:dyDescent="0.3">
      <c r="A609" t="s">
        <v>784</v>
      </c>
      <c r="B609" t="s">
        <v>330</v>
      </c>
      <c r="C609">
        <v>90</v>
      </c>
      <c r="D609" t="s">
        <v>12</v>
      </c>
      <c r="E609" t="s">
        <v>26</v>
      </c>
      <c r="F609" t="s">
        <v>14</v>
      </c>
      <c r="G609" s="1">
        <v>45761</v>
      </c>
      <c r="H609" s="1">
        <v>45769</v>
      </c>
      <c r="I609">
        <v>8</v>
      </c>
      <c r="J609">
        <v>45216</v>
      </c>
    </row>
    <row r="610" spans="1:10" x14ac:dyDescent="0.3">
      <c r="A610" t="s">
        <v>785</v>
      </c>
      <c r="B610" t="s">
        <v>168</v>
      </c>
      <c r="C610">
        <v>20</v>
      </c>
      <c r="D610" t="s">
        <v>12</v>
      </c>
      <c r="E610" t="s">
        <v>30</v>
      </c>
      <c r="F610" t="s">
        <v>19</v>
      </c>
      <c r="G610" s="1">
        <v>45698</v>
      </c>
      <c r="H610" s="1">
        <v>45704</v>
      </c>
      <c r="I610">
        <v>6</v>
      </c>
      <c r="J610">
        <v>38520</v>
      </c>
    </row>
    <row r="611" spans="1:10" x14ac:dyDescent="0.3">
      <c r="A611" t="s">
        <v>786</v>
      </c>
      <c r="B611" t="s">
        <v>107</v>
      </c>
      <c r="C611">
        <v>30</v>
      </c>
      <c r="D611" t="s">
        <v>17</v>
      </c>
      <c r="E611" t="s">
        <v>22</v>
      </c>
      <c r="F611" t="s">
        <v>59</v>
      </c>
      <c r="G611" s="1">
        <v>45680</v>
      </c>
      <c r="H611" s="1">
        <v>45695</v>
      </c>
      <c r="I611">
        <v>15</v>
      </c>
      <c r="J611">
        <v>85890</v>
      </c>
    </row>
    <row r="612" spans="1:10" x14ac:dyDescent="0.3">
      <c r="A612" t="s">
        <v>787</v>
      </c>
      <c r="B612" t="s">
        <v>134</v>
      </c>
      <c r="C612">
        <v>67</v>
      </c>
      <c r="D612" t="s">
        <v>12</v>
      </c>
      <c r="E612" t="s">
        <v>48</v>
      </c>
      <c r="F612" t="s">
        <v>34</v>
      </c>
      <c r="G612" s="1">
        <v>45790</v>
      </c>
      <c r="H612" s="1">
        <v>45796</v>
      </c>
      <c r="I612">
        <v>6</v>
      </c>
      <c r="J612">
        <v>25332</v>
      </c>
    </row>
    <row r="613" spans="1:10" x14ac:dyDescent="0.3">
      <c r="A613" t="s">
        <v>788</v>
      </c>
      <c r="B613" t="s">
        <v>82</v>
      </c>
      <c r="C613">
        <v>3</v>
      </c>
      <c r="D613" t="s">
        <v>12</v>
      </c>
      <c r="E613" t="s">
        <v>13</v>
      </c>
      <c r="F613" t="s">
        <v>19</v>
      </c>
      <c r="G613" s="1">
        <v>45819</v>
      </c>
      <c r="H613" s="1">
        <v>45831</v>
      </c>
      <c r="I613">
        <v>12</v>
      </c>
      <c r="J613">
        <v>133056</v>
      </c>
    </row>
    <row r="614" spans="1:10" x14ac:dyDescent="0.3">
      <c r="A614" t="s">
        <v>789</v>
      </c>
      <c r="B614" t="s">
        <v>267</v>
      </c>
      <c r="C614">
        <v>17</v>
      </c>
      <c r="D614" t="s">
        <v>17</v>
      </c>
      <c r="E614" t="s">
        <v>48</v>
      </c>
      <c r="F614" t="s">
        <v>34</v>
      </c>
      <c r="G614" s="1">
        <v>45729</v>
      </c>
      <c r="H614" s="1">
        <v>45731</v>
      </c>
      <c r="I614">
        <v>2</v>
      </c>
      <c r="J614">
        <v>20074</v>
      </c>
    </row>
    <row r="615" spans="1:10" x14ac:dyDescent="0.3">
      <c r="A615" t="s">
        <v>790</v>
      </c>
      <c r="B615" t="s">
        <v>371</v>
      </c>
      <c r="C615">
        <v>29</v>
      </c>
      <c r="D615" t="s">
        <v>17</v>
      </c>
      <c r="E615" t="s">
        <v>102</v>
      </c>
      <c r="F615" t="s">
        <v>14</v>
      </c>
      <c r="G615" s="1">
        <v>45997</v>
      </c>
      <c r="H615" s="1">
        <v>46006</v>
      </c>
      <c r="I615">
        <v>9</v>
      </c>
      <c r="J615">
        <v>82143</v>
      </c>
    </row>
    <row r="616" spans="1:10" x14ac:dyDescent="0.3">
      <c r="A616" t="s">
        <v>791</v>
      </c>
      <c r="B616" t="s">
        <v>792</v>
      </c>
      <c r="C616">
        <v>15</v>
      </c>
      <c r="D616" t="s">
        <v>12</v>
      </c>
      <c r="E616" t="s">
        <v>39</v>
      </c>
      <c r="F616" t="s">
        <v>14</v>
      </c>
      <c r="G616" s="1">
        <v>45869</v>
      </c>
      <c r="H616" s="1">
        <v>45874</v>
      </c>
      <c r="I616">
        <v>5</v>
      </c>
      <c r="J616">
        <v>55545</v>
      </c>
    </row>
    <row r="617" spans="1:10" x14ac:dyDescent="0.3">
      <c r="A617" t="s">
        <v>793</v>
      </c>
      <c r="B617" t="s">
        <v>156</v>
      </c>
      <c r="C617">
        <v>82</v>
      </c>
      <c r="D617" t="s">
        <v>12</v>
      </c>
      <c r="E617" t="s">
        <v>30</v>
      </c>
      <c r="F617" t="s">
        <v>42</v>
      </c>
      <c r="G617" s="1">
        <v>45696</v>
      </c>
      <c r="H617" s="1">
        <v>45705</v>
      </c>
      <c r="I617">
        <v>9</v>
      </c>
      <c r="J617">
        <v>92349</v>
      </c>
    </row>
    <row r="618" spans="1:10" x14ac:dyDescent="0.3">
      <c r="A618" t="s">
        <v>794</v>
      </c>
      <c r="B618" t="s">
        <v>275</v>
      </c>
      <c r="C618">
        <v>40</v>
      </c>
      <c r="D618" t="s">
        <v>17</v>
      </c>
      <c r="E618" t="s">
        <v>33</v>
      </c>
      <c r="F618" t="s">
        <v>34</v>
      </c>
      <c r="G618" s="1">
        <v>45813</v>
      </c>
      <c r="H618" s="1">
        <v>45820</v>
      </c>
      <c r="I618">
        <v>7</v>
      </c>
      <c r="J618">
        <v>35868</v>
      </c>
    </row>
    <row r="619" spans="1:10" x14ac:dyDescent="0.3">
      <c r="A619" t="s">
        <v>795</v>
      </c>
      <c r="B619" t="s">
        <v>16</v>
      </c>
      <c r="C619">
        <v>54</v>
      </c>
      <c r="D619" t="s">
        <v>17</v>
      </c>
      <c r="E619" t="s">
        <v>45</v>
      </c>
      <c r="F619" t="s">
        <v>19</v>
      </c>
      <c r="G619" s="1">
        <v>45763</v>
      </c>
      <c r="H619" s="1">
        <v>45770</v>
      </c>
      <c r="I619">
        <v>7</v>
      </c>
      <c r="J619">
        <v>76090</v>
      </c>
    </row>
    <row r="620" spans="1:10" x14ac:dyDescent="0.3">
      <c r="A620" t="s">
        <v>796</v>
      </c>
      <c r="B620" t="s">
        <v>21</v>
      </c>
      <c r="C620">
        <v>10</v>
      </c>
      <c r="D620" t="s">
        <v>17</v>
      </c>
      <c r="E620" t="s">
        <v>102</v>
      </c>
      <c r="F620" t="s">
        <v>62</v>
      </c>
      <c r="G620" s="1">
        <v>46008</v>
      </c>
      <c r="H620" s="1">
        <v>46015</v>
      </c>
      <c r="I620">
        <v>7</v>
      </c>
      <c r="J620">
        <v>69447</v>
      </c>
    </row>
    <row r="621" spans="1:10" x14ac:dyDescent="0.3">
      <c r="A621" t="s">
        <v>797</v>
      </c>
      <c r="B621" t="s">
        <v>107</v>
      </c>
      <c r="C621">
        <v>87</v>
      </c>
      <c r="D621" t="s">
        <v>17</v>
      </c>
      <c r="E621" t="s">
        <v>22</v>
      </c>
      <c r="F621" t="s">
        <v>23</v>
      </c>
      <c r="G621" s="1">
        <v>45776</v>
      </c>
      <c r="H621" s="1">
        <v>45783</v>
      </c>
      <c r="I621">
        <v>7</v>
      </c>
      <c r="J621">
        <v>48118</v>
      </c>
    </row>
    <row r="622" spans="1:10" x14ac:dyDescent="0.3">
      <c r="A622" t="s">
        <v>798</v>
      </c>
      <c r="B622" t="s">
        <v>334</v>
      </c>
      <c r="C622">
        <v>36</v>
      </c>
      <c r="D622" t="s">
        <v>12</v>
      </c>
      <c r="E622" t="s">
        <v>13</v>
      </c>
      <c r="F622" t="s">
        <v>14</v>
      </c>
      <c r="G622" s="1">
        <v>45963</v>
      </c>
      <c r="H622" s="1">
        <v>45967</v>
      </c>
      <c r="I622">
        <v>4</v>
      </c>
      <c r="J622">
        <v>18240</v>
      </c>
    </row>
    <row r="623" spans="1:10" x14ac:dyDescent="0.3">
      <c r="A623" t="s">
        <v>799</v>
      </c>
      <c r="B623" t="s">
        <v>154</v>
      </c>
      <c r="C623">
        <v>86</v>
      </c>
      <c r="D623" t="s">
        <v>17</v>
      </c>
      <c r="E623" t="s">
        <v>30</v>
      </c>
      <c r="F623" t="s">
        <v>23</v>
      </c>
      <c r="G623" s="1">
        <v>45944</v>
      </c>
      <c r="H623" s="1">
        <v>45949</v>
      </c>
      <c r="I623">
        <v>5</v>
      </c>
      <c r="J623">
        <v>56445</v>
      </c>
    </row>
    <row r="624" spans="1:10" x14ac:dyDescent="0.3">
      <c r="A624" t="s">
        <v>800</v>
      </c>
      <c r="B624" t="s">
        <v>148</v>
      </c>
      <c r="C624">
        <v>81</v>
      </c>
      <c r="D624" t="s">
        <v>12</v>
      </c>
      <c r="E624" t="s">
        <v>48</v>
      </c>
      <c r="F624" t="s">
        <v>23</v>
      </c>
      <c r="G624" s="1">
        <v>46008</v>
      </c>
      <c r="H624" s="1">
        <v>46014</v>
      </c>
      <c r="I624">
        <v>6</v>
      </c>
      <c r="J624">
        <v>30882</v>
      </c>
    </row>
    <row r="625" spans="1:10" x14ac:dyDescent="0.3">
      <c r="A625" t="s">
        <v>801</v>
      </c>
      <c r="B625" t="s">
        <v>308</v>
      </c>
      <c r="C625">
        <v>61</v>
      </c>
      <c r="D625" t="s">
        <v>17</v>
      </c>
      <c r="E625" t="s">
        <v>102</v>
      </c>
      <c r="F625" t="s">
        <v>23</v>
      </c>
      <c r="G625" s="1">
        <v>45843</v>
      </c>
      <c r="H625" s="1">
        <v>45844</v>
      </c>
      <c r="I625">
        <v>1</v>
      </c>
      <c r="J625">
        <v>11680</v>
      </c>
    </row>
    <row r="626" spans="1:10" x14ac:dyDescent="0.3">
      <c r="A626" t="s">
        <v>802</v>
      </c>
      <c r="B626" t="s">
        <v>554</v>
      </c>
      <c r="C626">
        <v>77</v>
      </c>
      <c r="D626" t="s">
        <v>12</v>
      </c>
      <c r="E626" t="s">
        <v>26</v>
      </c>
      <c r="F626" t="s">
        <v>42</v>
      </c>
      <c r="G626" s="1">
        <v>45904</v>
      </c>
      <c r="H626" s="1">
        <v>45913</v>
      </c>
      <c r="I626">
        <v>9</v>
      </c>
      <c r="J626">
        <v>43290</v>
      </c>
    </row>
    <row r="627" spans="1:10" x14ac:dyDescent="0.3">
      <c r="A627" t="s">
        <v>803</v>
      </c>
      <c r="B627" t="s">
        <v>168</v>
      </c>
      <c r="C627">
        <v>41</v>
      </c>
      <c r="D627" t="s">
        <v>17</v>
      </c>
      <c r="E627" t="s">
        <v>33</v>
      </c>
      <c r="F627" t="s">
        <v>14</v>
      </c>
      <c r="G627" s="1">
        <v>45862</v>
      </c>
      <c r="H627" s="1">
        <v>45868</v>
      </c>
      <c r="I627">
        <v>6</v>
      </c>
      <c r="J627">
        <v>43374</v>
      </c>
    </row>
    <row r="628" spans="1:10" x14ac:dyDescent="0.3">
      <c r="A628" t="s">
        <v>804</v>
      </c>
      <c r="B628" t="s">
        <v>249</v>
      </c>
      <c r="C628">
        <v>3</v>
      </c>
      <c r="D628" t="s">
        <v>17</v>
      </c>
      <c r="E628" t="s">
        <v>26</v>
      </c>
      <c r="F628" t="s">
        <v>19</v>
      </c>
      <c r="G628" s="1">
        <v>45735</v>
      </c>
      <c r="H628" s="1">
        <v>45740</v>
      </c>
      <c r="I628">
        <v>5</v>
      </c>
      <c r="J628">
        <v>54815</v>
      </c>
    </row>
    <row r="629" spans="1:10" x14ac:dyDescent="0.3">
      <c r="A629" t="s">
        <v>805</v>
      </c>
      <c r="B629" t="s">
        <v>158</v>
      </c>
      <c r="C629">
        <v>50</v>
      </c>
      <c r="D629" t="s">
        <v>12</v>
      </c>
      <c r="E629" t="s">
        <v>33</v>
      </c>
      <c r="F629" t="s">
        <v>59</v>
      </c>
      <c r="G629" s="1">
        <v>45704</v>
      </c>
      <c r="H629" s="1">
        <v>45715</v>
      </c>
      <c r="I629">
        <v>11</v>
      </c>
      <c r="J629">
        <v>113366</v>
      </c>
    </row>
    <row r="630" spans="1:10" x14ac:dyDescent="0.3">
      <c r="A630" t="s">
        <v>806</v>
      </c>
      <c r="B630" t="s">
        <v>154</v>
      </c>
      <c r="C630">
        <v>31</v>
      </c>
      <c r="D630" t="s">
        <v>12</v>
      </c>
      <c r="E630" t="s">
        <v>102</v>
      </c>
      <c r="F630" t="s">
        <v>14</v>
      </c>
      <c r="G630" s="1">
        <v>45799</v>
      </c>
      <c r="H630" s="1">
        <v>45812</v>
      </c>
      <c r="I630">
        <v>13</v>
      </c>
      <c r="J630">
        <v>127296</v>
      </c>
    </row>
    <row r="631" spans="1:10" x14ac:dyDescent="0.3">
      <c r="A631" t="s">
        <v>807</v>
      </c>
      <c r="B631" t="s">
        <v>146</v>
      </c>
      <c r="C631">
        <v>44</v>
      </c>
      <c r="D631" t="s">
        <v>17</v>
      </c>
      <c r="E631" t="s">
        <v>22</v>
      </c>
      <c r="F631" t="s">
        <v>59</v>
      </c>
      <c r="G631" s="1">
        <v>45836</v>
      </c>
      <c r="H631" s="1">
        <v>45842</v>
      </c>
      <c r="I631">
        <v>6</v>
      </c>
      <c r="J631">
        <v>39714</v>
      </c>
    </row>
    <row r="632" spans="1:10" x14ac:dyDescent="0.3">
      <c r="A632" t="s">
        <v>808</v>
      </c>
      <c r="B632" t="s">
        <v>379</v>
      </c>
      <c r="C632">
        <v>40</v>
      </c>
      <c r="D632" t="s">
        <v>17</v>
      </c>
      <c r="E632" t="s">
        <v>45</v>
      </c>
      <c r="F632" t="s">
        <v>27</v>
      </c>
      <c r="G632" s="1">
        <v>46007</v>
      </c>
      <c r="H632" s="1">
        <v>46022</v>
      </c>
      <c r="I632">
        <v>15</v>
      </c>
      <c r="J632">
        <v>136110</v>
      </c>
    </row>
    <row r="633" spans="1:10" x14ac:dyDescent="0.3">
      <c r="A633" t="s">
        <v>809</v>
      </c>
      <c r="B633" t="s">
        <v>220</v>
      </c>
      <c r="C633">
        <v>84</v>
      </c>
      <c r="D633" t="s">
        <v>12</v>
      </c>
      <c r="E633" t="s">
        <v>30</v>
      </c>
      <c r="F633" t="s">
        <v>14</v>
      </c>
      <c r="G633" s="1">
        <v>45765</v>
      </c>
      <c r="H633" s="1">
        <v>45778</v>
      </c>
      <c r="I633">
        <v>13</v>
      </c>
      <c r="J633">
        <v>129519</v>
      </c>
    </row>
    <row r="634" spans="1:10" x14ac:dyDescent="0.3">
      <c r="A634" t="s">
        <v>810</v>
      </c>
      <c r="B634" t="s">
        <v>325</v>
      </c>
      <c r="C634">
        <v>23</v>
      </c>
      <c r="D634" t="s">
        <v>17</v>
      </c>
      <c r="E634" t="s">
        <v>26</v>
      </c>
      <c r="F634" t="s">
        <v>14</v>
      </c>
      <c r="G634" s="1">
        <v>45942</v>
      </c>
      <c r="H634" s="1">
        <v>45943</v>
      </c>
      <c r="I634">
        <v>1</v>
      </c>
      <c r="J634">
        <v>7958</v>
      </c>
    </row>
    <row r="635" spans="1:10" x14ac:dyDescent="0.3">
      <c r="A635" t="s">
        <v>811</v>
      </c>
      <c r="B635" t="s">
        <v>361</v>
      </c>
      <c r="C635">
        <v>57</v>
      </c>
      <c r="D635" t="s">
        <v>17</v>
      </c>
      <c r="E635" t="s">
        <v>18</v>
      </c>
      <c r="F635" t="s">
        <v>62</v>
      </c>
      <c r="G635" s="1">
        <v>45713</v>
      </c>
      <c r="H635" s="1">
        <v>45715</v>
      </c>
      <c r="I635">
        <v>2</v>
      </c>
      <c r="J635">
        <v>20154</v>
      </c>
    </row>
    <row r="636" spans="1:10" x14ac:dyDescent="0.3">
      <c r="A636" t="s">
        <v>812</v>
      </c>
      <c r="B636" t="s">
        <v>178</v>
      </c>
      <c r="C636">
        <v>8</v>
      </c>
      <c r="D636" t="s">
        <v>17</v>
      </c>
      <c r="E636" t="s">
        <v>18</v>
      </c>
      <c r="F636" t="s">
        <v>59</v>
      </c>
      <c r="G636" s="1">
        <v>45764</v>
      </c>
      <c r="H636" s="1">
        <v>45775</v>
      </c>
      <c r="I636">
        <v>11</v>
      </c>
      <c r="J636">
        <v>58993</v>
      </c>
    </row>
    <row r="637" spans="1:10" x14ac:dyDescent="0.3">
      <c r="A637" t="s">
        <v>813</v>
      </c>
      <c r="B637" t="s">
        <v>168</v>
      </c>
      <c r="C637">
        <v>40</v>
      </c>
      <c r="D637" t="s">
        <v>12</v>
      </c>
      <c r="E637" t="s">
        <v>13</v>
      </c>
      <c r="F637" t="s">
        <v>23</v>
      </c>
      <c r="G637" s="1">
        <v>45879</v>
      </c>
      <c r="H637" s="1">
        <v>45892</v>
      </c>
      <c r="I637">
        <v>13</v>
      </c>
      <c r="J637">
        <v>143312</v>
      </c>
    </row>
    <row r="638" spans="1:10" x14ac:dyDescent="0.3">
      <c r="A638" t="s">
        <v>814</v>
      </c>
      <c r="B638" t="s">
        <v>455</v>
      </c>
      <c r="C638">
        <v>15</v>
      </c>
      <c r="D638" t="s">
        <v>17</v>
      </c>
      <c r="E638" t="s">
        <v>102</v>
      </c>
      <c r="F638" t="s">
        <v>27</v>
      </c>
      <c r="G638" s="1">
        <v>45666</v>
      </c>
      <c r="H638" s="1">
        <v>45670</v>
      </c>
      <c r="I638">
        <v>4</v>
      </c>
      <c r="J638">
        <v>17372</v>
      </c>
    </row>
    <row r="639" spans="1:10" x14ac:dyDescent="0.3">
      <c r="A639" t="s">
        <v>815</v>
      </c>
      <c r="B639" t="s">
        <v>137</v>
      </c>
      <c r="C639">
        <v>11</v>
      </c>
      <c r="D639" t="s">
        <v>17</v>
      </c>
      <c r="E639" t="s">
        <v>26</v>
      </c>
      <c r="F639" t="s">
        <v>14</v>
      </c>
      <c r="G639" s="1">
        <v>45845</v>
      </c>
      <c r="H639" s="1">
        <v>45859</v>
      </c>
      <c r="I639">
        <v>14</v>
      </c>
      <c r="J639">
        <v>107184</v>
      </c>
    </row>
    <row r="640" spans="1:10" x14ac:dyDescent="0.3">
      <c r="A640" t="s">
        <v>816</v>
      </c>
      <c r="B640" t="s">
        <v>626</v>
      </c>
      <c r="C640">
        <v>55</v>
      </c>
      <c r="D640" t="s">
        <v>12</v>
      </c>
      <c r="E640" t="s">
        <v>22</v>
      </c>
      <c r="F640" t="s">
        <v>27</v>
      </c>
      <c r="G640" s="1">
        <v>45940</v>
      </c>
      <c r="H640" s="1">
        <v>45948</v>
      </c>
      <c r="I640">
        <v>8</v>
      </c>
      <c r="J640">
        <v>91064</v>
      </c>
    </row>
    <row r="641" spans="1:10" x14ac:dyDescent="0.3">
      <c r="A641" t="s">
        <v>817</v>
      </c>
      <c r="B641" t="s">
        <v>343</v>
      </c>
      <c r="C641">
        <v>83</v>
      </c>
      <c r="D641" t="s">
        <v>17</v>
      </c>
      <c r="E641" t="s">
        <v>13</v>
      </c>
      <c r="F641" t="s">
        <v>19</v>
      </c>
      <c r="G641" s="1">
        <v>45659</v>
      </c>
      <c r="H641" s="1">
        <v>45663</v>
      </c>
      <c r="I641">
        <v>4</v>
      </c>
      <c r="J641">
        <v>30700</v>
      </c>
    </row>
    <row r="642" spans="1:10" x14ac:dyDescent="0.3">
      <c r="A642" t="s">
        <v>818</v>
      </c>
      <c r="B642" t="s">
        <v>54</v>
      </c>
      <c r="C642">
        <v>16</v>
      </c>
      <c r="D642" t="s">
        <v>12</v>
      </c>
      <c r="E642" t="s">
        <v>13</v>
      </c>
      <c r="F642" t="s">
        <v>62</v>
      </c>
      <c r="G642" s="1">
        <v>45919</v>
      </c>
      <c r="H642" s="1">
        <v>45928</v>
      </c>
      <c r="I642">
        <v>9</v>
      </c>
      <c r="J642">
        <v>100611</v>
      </c>
    </row>
    <row r="643" spans="1:10" x14ac:dyDescent="0.3">
      <c r="A643" t="s">
        <v>819</v>
      </c>
      <c r="B643" t="s">
        <v>283</v>
      </c>
      <c r="C643">
        <v>62</v>
      </c>
      <c r="D643" t="s">
        <v>17</v>
      </c>
      <c r="E643" t="s">
        <v>18</v>
      </c>
      <c r="F643" t="s">
        <v>42</v>
      </c>
      <c r="G643" s="1">
        <v>45981</v>
      </c>
      <c r="H643" s="1">
        <v>45988</v>
      </c>
      <c r="I643">
        <v>7</v>
      </c>
      <c r="J643">
        <v>67620</v>
      </c>
    </row>
    <row r="644" spans="1:10" x14ac:dyDescent="0.3">
      <c r="A644" t="s">
        <v>820</v>
      </c>
      <c r="B644" t="s">
        <v>98</v>
      </c>
      <c r="C644">
        <v>45</v>
      </c>
      <c r="D644" t="s">
        <v>17</v>
      </c>
      <c r="E644" t="s">
        <v>13</v>
      </c>
      <c r="F644" t="s">
        <v>19</v>
      </c>
      <c r="G644" s="1">
        <v>45956</v>
      </c>
      <c r="H644" s="1">
        <v>45967</v>
      </c>
      <c r="I644">
        <v>11</v>
      </c>
      <c r="J644">
        <v>47696</v>
      </c>
    </row>
    <row r="645" spans="1:10" x14ac:dyDescent="0.3">
      <c r="A645" t="s">
        <v>821</v>
      </c>
      <c r="B645" t="s">
        <v>44</v>
      </c>
      <c r="C645">
        <v>36</v>
      </c>
      <c r="D645" t="s">
        <v>12</v>
      </c>
      <c r="E645" t="s">
        <v>22</v>
      </c>
      <c r="F645" t="s">
        <v>42</v>
      </c>
      <c r="G645" s="1">
        <v>45762</v>
      </c>
      <c r="H645" s="1">
        <v>45768</v>
      </c>
      <c r="I645">
        <v>6</v>
      </c>
      <c r="J645">
        <v>32958</v>
      </c>
    </row>
    <row r="646" spans="1:10" x14ac:dyDescent="0.3">
      <c r="A646" t="s">
        <v>822</v>
      </c>
      <c r="B646" t="s">
        <v>146</v>
      </c>
      <c r="C646">
        <v>11</v>
      </c>
      <c r="D646" t="s">
        <v>12</v>
      </c>
      <c r="E646" t="s">
        <v>22</v>
      </c>
      <c r="F646" t="s">
        <v>23</v>
      </c>
      <c r="G646" s="1">
        <v>45853</v>
      </c>
      <c r="H646" s="1">
        <v>45867</v>
      </c>
      <c r="I646">
        <v>14</v>
      </c>
      <c r="J646">
        <v>107814</v>
      </c>
    </row>
    <row r="647" spans="1:10" x14ac:dyDescent="0.3">
      <c r="A647" t="s">
        <v>823</v>
      </c>
      <c r="B647" t="s">
        <v>176</v>
      </c>
      <c r="C647">
        <v>48</v>
      </c>
      <c r="D647" t="s">
        <v>12</v>
      </c>
      <c r="E647" t="s">
        <v>102</v>
      </c>
      <c r="F647" t="s">
        <v>23</v>
      </c>
      <c r="G647" s="1">
        <v>45747</v>
      </c>
      <c r="H647" s="1">
        <v>45755</v>
      </c>
      <c r="I647">
        <v>8</v>
      </c>
      <c r="J647">
        <v>60560</v>
      </c>
    </row>
    <row r="648" spans="1:10" x14ac:dyDescent="0.3">
      <c r="A648" t="s">
        <v>824</v>
      </c>
      <c r="B648" t="s">
        <v>325</v>
      </c>
      <c r="C648">
        <v>19</v>
      </c>
      <c r="D648" t="s">
        <v>17</v>
      </c>
      <c r="E648" t="s">
        <v>22</v>
      </c>
      <c r="F648" t="s">
        <v>34</v>
      </c>
      <c r="G648" s="1">
        <v>45869</v>
      </c>
      <c r="H648" s="1">
        <v>45870</v>
      </c>
      <c r="I648">
        <v>1</v>
      </c>
      <c r="J648">
        <v>10474</v>
      </c>
    </row>
    <row r="649" spans="1:10" x14ac:dyDescent="0.3">
      <c r="A649" t="s">
        <v>825</v>
      </c>
      <c r="B649" t="s">
        <v>86</v>
      </c>
      <c r="C649">
        <v>41</v>
      </c>
      <c r="D649" t="s">
        <v>12</v>
      </c>
      <c r="E649" t="s">
        <v>33</v>
      </c>
      <c r="F649" t="s">
        <v>62</v>
      </c>
      <c r="G649" s="1">
        <v>45986</v>
      </c>
      <c r="H649" s="1">
        <v>45991</v>
      </c>
      <c r="I649">
        <v>5</v>
      </c>
      <c r="J649">
        <v>51060</v>
      </c>
    </row>
    <row r="650" spans="1:10" x14ac:dyDescent="0.3">
      <c r="A650" t="s">
        <v>826</v>
      </c>
      <c r="B650" t="s">
        <v>61</v>
      </c>
      <c r="C650">
        <v>4</v>
      </c>
      <c r="D650" t="s">
        <v>12</v>
      </c>
      <c r="E650" t="s">
        <v>102</v>
      </c>
      <c r="F650" t="s">
        <v>27</v>
      </c>
      <c r="G650" s="1">
        <v>45775</v>
      </c>
      <c r="H650" s="1">
        <v>45782</v>
      </c>
      <c r="I650">
        <v>7</v>
      </c>
      <c r="J650">
        <v>55510</v>
      </c>
    </row>
    <row r="651" spans="1:10" x14ac:dyDescent="0.3">
      <c r="A651" t="s">
        <v>827</v>
      </c>
      <c r="B651" t="s">
        <v>602</v>
      </c>
      <c r="C651">
        <v>10</v>
      </c>
      <c r="D651" t="s">
        <v>12</v>
      </c>
      <c r="E651" t="s">
        <v>48</v>
      </c>
      <c r="F651" t="s">
        <v>42</v>
      </c>
      <c r="G651" s="1">
        <v>45753</v>
      </c>
      <c r="H651" s="1">
        <v>45755</v>
      </c>
      <c r="I651">
        <v>2</v>
      </c>
      <c r="J651">
        <v>19618</v>
      </c>
    </row>
    <row r="652" spans="1:10" x14ac:dyDescent="0.3">
      <c r="A652" t="s">
        <v>828</v>
      </c>
      <c r="B652" t="s">
        <v>47</v>
      </c>
      <c r="C652">
        <v>42</v>
      </c>
      <c r="D652" t="s">
        <v>17</v>
      </c>
      <c r="E652" t="s">
        <v>102</v>
      </c>
      <c r="F652" t="s">
        <v>23</v>
      </c>
      <c r="G652" s="1">
        <v>45956</v>
      </c>
      <c r="H652" s="1">
        <v>45964</v>
      </c>
      <c r="I652">
        <v>8</v>
      </c>
      <c r="J652">
        <v>47760</v>
      </c>
    </row>
    <row r="653" spans="1:10" x14ac:dyDescent="0.3">
      <c r="A653" t="s">
        <v>829</v>
      </c>
      <c r="B653" t="s">
        <v>203</v>
      </c>
      <c r="C653">
        <v>44</v>
      </c>
      <c r="D653" t="s">
        <v>17</v>
      </c>
      <c r="E653" t="s">
        <v>102</v>
      </c>
      <c r="F653" t="s">
        <v>62</v>
      </c>
      <c r="G653" s="1">
        <v>45862</v>
      </c>
      <c r="H653" s="1">
        <v>45863</v>
      </c>
      <c r="I653">
        <v>1</v>
      </c>
      <c r="J653">
        <v>5406</v>
      </c>
    </row>
    <row r="654" spans="1:10" x14ac:dyDescent="0.3">
      <c r="A654" t="s">
        <v>830</v>
      </c>
      <c r="B654" t="s">
        <v>464</v>
      </c>
      <c r="C654">
        <v>41</v>
      </c>
      <c r="D654" t="s">
        <v>17</v>
      </c>
      <c r="E654" t="s">
        <v>45</v>
      </c>
      <c r="F654" t="s">
        <v>59</v>
      </c>
      <c r="G654" s="1">
        <v>45867</v>
      </c>
      <c r="H654" s="1">
        <v>45879</v>
      </c>
      <c r="I654">
        <v>12</v>
      </c>
      <c r="J654">
        <v>55692</v>
      </c>
    </row>
    <row r="655" spans="1:10" x14ac:dyDescent="0.3">
      <c r="A655" t="s">
        <v>831</v>
      </c>
      <c r="B655" t="s">
        <v>118</v>
      </c>
      <c r="C655">
        <v>78</v>
      </c>
      <c r="D655" t="s">
        <v>12</v>
      </c>
      <c r="E655" t="s">
        <v>22</v>
      </c>
      <c r="F655" t="s">
        <v>14</v>
      </c>
      <c r="G655" s="1">
        <v>45950</v>
      </c>
      <c r="H655" s="1">
        <v>45961</v>
      </c>
      <c r="I655">
        <v>11</v>
      </c>
      <c r="J655">
        <v>68849</v>
      </c>
    </row>
    <row r="656" spans="1:10" x14ac:dyDescent="0.3">
      <c r="A656" t="s">
        <v>832</v>
      </c>
      <c r="B656" t="s">
        <v>325</v>
      </c>
      <c r="C656">
        <v>75</v>
      </c>
      <c r="D656" t="s">
        <v>12</v>
      </c>
      <c r="E656" t="s">
        <v>22</v>
      </c>
      <c r="F656" t="s">
        <v>42</v>
      </c>
      <c r="G656" s="1">
        <v>45997</v>
      </c>
      <c r="H656" s="1">
        <v>46002</v>
      </c>
      <c r="I656">
        <v>5</v>
      </c>
      <c r="J656">
        <v>30545</v>
      </c>
    </row>
    <row r="657" spans="1:10" x14ac:dyDescent="0.3">
      <c r="A657" t="s">
        <v>833</v>
      </c>
      <c r="B657" t="s">
        <v>185</v>
      </c>
      <c r="C657">
        <v>78</v>
      </c>
      <c r="D657" t="s">
        <v>12</v>
      </c>
      <c r="E657" t="s">
        <v>30</v>
      </c>
      <c r="F657" t="s">
        <v>14</v>
      </c>
      <c r="G657" s="1">
        <v>45725</v>
      </c>
      <c r="H657" s="1">
        <v>45734</v>
      </c>
      <c r="I657">
        <v>9</v>
      </c>
      <c r="J657">
        <v>52938</v>
      </c>
    </row>
    <row r="658" spans="1:10" x14ac:dyDescent="0.3">
      <c r="A658" t="s">
        <v>834</v>
      </c>
      <c r="B658" t="s">
        <v>96</v>
      </c>
      <c r="C658">
        <v>26</v>
      </c>
      <c r="D658" t="s">
        <v>12</v>
      </c>
      <c r="E658" t="s">
        <v>48</v>
      </c>
      <c r="F658" t="s">
        <v>27</v>
      </c>
      <c r="G658" s="1">
        <v>45949</v>
      </c>
      <c r="H658" s="1">
        <v>45961</v>
      </c>
      <c r="I658">
        <v>12</v>
      </c>
      <c r="J658">
        <v>56604</v>
      </c>
    </row>
    <row r="659" spans="1:10" x14ac:dyDescent="0.3">
      <c r="A659" t="s">
        <v>835</v>
      </c>
      <c r="B659" t="s">
        <v>247</v>
      </c>
      <c r="C659">
        <v>2</v>
      </c>
      <c r="D659" t="s">
        <v>12</v>
      </c>
      <c r="E659" t="s">
        <v>18</v>
      </c>
      <c r="F659" t="s">
        <v>59</v>
      </c>
      <c r="G659" s="1">
        <v>45784</v>
      </c>
      <c r="H659" s="1">
        <v>45786</v>
      </c>
      <c r="I659">
        <v>2</v>
      </c>
      <c r="J659">
        <v>14714</v>
      </c>
    </row>
    <row r="660" spans="1:10" x14ac:dyDescent="0.3">
      <c r="A660" t="s">
        <v>836</v>
      </c>
      <c r="B660" t="s">
        <v>127</v>
      </c>
      <c r="C660">
        <v>79</v>
      </c>
      <c r="D660" t="s">
        <v>12</v>
      </c>
      <c r="E660" t="s">
        <v>33</v>
      </c>
      <c r="F660" t="s">
        <v>62</v>
      </c>
      <c r="G660" s="1">
        <v>45834</v>
      </c>
      <c r="H660" s="1">
        <v>45842</v>
      </c>
      <c r="I660">
        <v>8</v>
      </c>
      <c r="J660">
        <v>77392</v>
      </c>
    </row>
    <row r="661" spans="1:10" x14ac:dyDescent="0.3">
      <c r="A661" t="s">
        <v>837</v>
      </c>
      <c r="B661" t="s">
        <v>366</v>
      </c>
      <c r="C661">
        <v>15</v>
      </c>
      <c r="D661" t="s">
        <v>17</v>
      </c>
      <c r="E661" t="s">
        <v>33</v>
      </c>
      <c r="F661" t="s">
        <v>42</v>
      </c>
      <c r="G661" s="1">
        <v>45678</v>
      </c>
      <c r="H661" s="1">
        <v>45684</v>
      </c>
      <c r="I661">
        <v>6</v>
      </c>
      <c r="J661">
        <v>45516</v>
      </c>
    </row>
    <row r="662" spans="1:10" x14ac:dyDescent="0.3">
      <c r="A662" t="s">
        <v>838</v>
      </c>
      <c r="B662" t="s">
        <v>245</v>
      </c>
      <c r="C662">
        <v>73</v>
      </c>
      <c r="D662" t="s">
        <v>12</v>
      </c>
      <c r="E662" t="s">
        <v>18</v>
      </c>
      <c r="F662" t="s">
        <v>27</v>
      </c>
      <c r="G662" s="1">
        <v>46000</v>
      </c>
      <c r="H662" s="1">
        <v>46009</v>
      </c>
      <c r="I662">
        <v>9</v>
      </c>
      <c r="J662">
        <v>48735</v>
      </c>
    </row>
    <row r="663" spans="1:10" x14ac:dyDescent="0.3">
      <c r="A663" t="s">
        <v>839</v>
      </c>
      <c r="B663" t="s">
        <v>712</v>
      </c>
      <c r="C663">
        <v>25</v>
      </c>
      <c r="D663" t="s">
        <v>17</v>
      </c>
      <c r="E663" t="s">
        <v>30</v>
      </c>
      <c r="F663" t="s">
        <v>34</v>
      </c>
      <c r="G663" s="1">
        <v>45917</v>
      </c>
      <c r="H663" s="1">
        <v>45923</v>
      </c>
      <c r="I663">
        <v>6</v>
      </c>
      <c r="J663">
        <v>30294</v>
      </c>
    </row>
    <row r="664" spans="1:10" x14ac:dyDescent="0.3">
      <c r="A664" t="s">
        <v>840</v>
      </c>
      <c r="B664" t="s">
        <v>178</v>
      </c>
      <c r="C664">
        <v>2</v>
      </c>
      <c r="D664" t="s">
        <v>12</v>
      </c>
      <c r="E664" t="s">
        <v>48</v>
      </c>
      <c r="F664" t="s">
        <v>27</v>
      </c>
      <c r="G664" s="1">
        <v>45848</v>
      </c>
      <c r="H664" s="1">
        <v>45862</v>
      </c>
      <c r="I664">
        <v>14</v>
      </c>
      <c r="J664">
        <v>77826</v>
      </c>
    </row>
    <row r="665" spans="1:10" x14ac:dyDescent="0.3">
      <c r="A665" t="s">
        <v>841</v>
      </c>
      <c r="B665" t="s">
        <v>176</v>
      </c>
      <c r="C665">
        <v>28</v>
      </c>
      <c r="D665" t="s">
        <v>17</v>
      </c>
      <c r="E665" t="s">
        <v>30</v>
      </c>
      <c r="F665" t="s">
        <v>42</v>
      </c>
      <c r="G665" s="1">
        <v>45921</v>
      </c>
      <c r="H665" s="1">
        <v>45923</v>
      </c>
      <c r="I665">
        <v>2</v>
      </c>
      <c r="J665">
        <v>12586</v>
      </c>
    </row>
    <row r="666" spans="1:10" x14ac:dyDescent="0.3">
      <c r="A666" t="s">
        <v>842</v>
      </c>
      <c r="B666" t="s">
        <v>134</v>
      </c>
      <c r="C666">
        <v>87</v>
      </c>
      <c r="D666" t="s">
        <v>17</v>
      </c>
      <c r="E666" t="s">
        <v>30</v>
      </c>
      <c r="F666" t="s">
        <v>19</v>
      </c>
      <c r="G666" s="1">
        <v>45704</v>
      </c>
      <c r="H666" s="1">
        <v>45716</v>
      </c>
      <c r="I666">
        <v>12</v>
      </c>
      <c r="J666">
        <v>49728</v>
      </c>
    </row>
    <row r="667" spans="1:10" x14ac:dyDescent="0.3">
      <c r="A667" t="s">
        <v>843</v>
      </c>
      <c r="B667" t="s">
        <v>93</v>
      </c>
      <c r="C667">
        <v>12</v>
      </c>
      <c r="D667" t="s">
        <v>12</v>
      </c>
      <c r="E667" t="s">
        <v>33</v>
      </c>
      <c r="F667" t="s">
        <v>59</v>
      </c>
      <c r="G667" s="1">
        <v>46010</v>
      </c>
      <c r="H667" s="1">
        <v>46018</v>
      </c>
      <c r="I667">
        <v>8</v>
      </c>
      <c r="J667">
        <v>52080</v>
      </c>
    </row>
    <row r="668" spans="1:10" x14ac:dyDescent="0.3">
      <c r="A668" t="s">
        <v>844</v>
      </c>
      <c r="B668" t="s">
        <v>207</v>
      </c>
      <c r="C668">
        <v>77</v>
      </c>
      <c r="D668" t="s">
        <v>17</v>
      </c>
      <c r="E668" t="s">
        <v>102</v>
      </c>
      <c r="F668" t="s">
        <v>34</v>
      </c>
      <c r="G668" s="1">
        <v>45681</v>
      </c>
      <c r="H668" s="1">
        <v>45689</v>
      </c>
      <c r="I668">
        <v>8</v>
      </c>
      <c r="J668">
        <v>34048</v>
      </c>
    </row>
    <row r="669" spans="1:10" x14ac:dyDescent="0.3">
      <c r="A669" t="s">
        <v>845</v>
      </c>
      <c r="B669" t="s">
        <v>176</v>
      </c>
      <c r="C669">
        <v>40</v>
      </c>
      <c r="D669" t="s">
        <v>17</v>
      </c>
      <c r="E669" t="s">
        <v>39</v>
      </c>
      <c r="F669" t="s">
        <v>62</v>
      </c>
      <c r="G669" s="1">
        <v>45799</v>
      </c>
      <c r="H669" s="1">
        <v>45814</v>
      </c>
      <c r="I669">
        <v>15</v>
      </c>
      <c r="J669">
        <v>137565</v>
      </c>
    </row>
    <row r="670" spans="1:10" x14ac:dyDescent="0.3">
      <c r="A670" t="s">
        <v>846</v>
      </c>
      <c r="B670" t="s">
        <v>682</v>
      </c>
      <c r="C670">
        <v>9</v>
      </c>
      <c r="D670" t="s">
        <v>12</v>
      </c>
      <c r="E670" t="s">
        <v>45</v>
      </c>
      <c r="F670" t="s">
        <v>19</v>
      </c>
      <c r="G670" s="1">
        <v>45776</v>
      </c>
      <c r="H670" s="1">
        <v>45782</v>
      </c>
      <c r="I670">
        <v>6</v>
      </c>
      <c r="J670">
        <v>50430</v>
      </c>
    </row>
    <row r="671" spans="1:10" x14ac:dyDescent="0.3">
      <c r="A671" t="s">
        <v>847</v>
      </c>
      <c r="B671" t="s">
        <v>325</v>
      </c>
      <c r="C671">
        <v>39</v>
      </c>
      <c r="D671" t="s">
        <v>12</v>
      </c>
      <c r="E671" t="s">
        <v>48</v>
      </c>
      <c r="F671" t="s">
        <v>27</v>
      </c>
      <c r="G671" s="1">
        <v>45846</v>
      </c>
      <c r="H671" s="1">
        <v>45856</v>
      </c>
      <c r="I671">
        <v>10</v>
      </c>
      <c r="J671">
        <v>78910</v>
      </c>
    </row>
    <row r="672" spans="1:10" x14ac:dyDescent="0.3">
      <c r="A672" t="s">
        <v>848</v>
      </c>
      <c r="B672" t="s">
        <v>375</v>
      </c>
      <c r="C672">
        <v>14</v>
      </c>
      <c r="D672" t="s">
        <v>17</v>
      </c>
      <c r="E672" t="s">
        <v>102</v>
      </c>
      <c r="F672" t="s">
        <v>42</v>
      </c>
      <c r="G672" s="1">
        <v>45899</v>
      </c>
      <c r="H672" s="1">
        <v>45904</v>
      </c>
      <c r="I672">
        <v>5</v>
      </c>
      <c r="J672">
        <v>34920</v>
      </c>
    </row>
    <row r="673" spans="1:10" x14ac:dyDescent="0.3">
      <c r="A673" t="s">
        <v>849</v>
      </c>
      <c r="B673" t="s">
        <v>68</v>
      </c>
      <c r="C673">
        <v>34</v>
      </c>
      <c r="D673" t="s">
        <v>12</v>
      </c>
      <c r="E673" t="s">
        <v>30</v>
      </c>
      <c r="F673" t="s">
        <v>23</v>
      </c>
      <c r="G673" s="1">
        <v>45868</v>
      </c>
      <c r="H673" s="1">
        <v>45880</v>
      </c>
      <c r="I673">
        <v>12</v>
      </c>
      <c r="J673">
        <v>93804</v>
      </c>
    </row>
    <row r="674" spans="1:10" x14ac:dyDescent="0.3">
      <c r="A674" t="s">
        <v>850</v>
      </c>
      <c r="B674" t="s">
        <v>207</v>
      </c>
      <c r="C674">
        <v>34</v>
      </c>
      <c r="D674" t="s">
        <v>17</v>
      </c>
      <c r="E674" t="s">
        <v>13</v>
      </c>
      <c r="F674" t="s">
        <v>59</v>
      </c>
      <c r="G674" s="1">
        <v>45682</v>
      </c>
      <c r="H674" s="1">
        <v>45690</v>
      </c>
      <c r="I674">
        <v>8</v>
      </c>
      <c r="J674">
        <v>49032</v>
      </c>
    </row>
    <row r="675" spans="1:10" x14ac:dyDescent="0.3">
      <c r="A675" t="s">
        <v>851</v>
      </c>
      <c r="B675" t="s">
        <v>322</v>
      </c>
      <c r="C675">
        <v>31</v>
      </c>
      <c r="D675" t="s">
        <v>12</v>
      </c>
      <c r="E675" t="s">
        <v>33</v>
      </c>
      <c r="F675" t="s">
        <v>23</v>
      </c>
      <c r="G675" s="1">
        <v>46010</v>
      </c>
      <c r="H675" s="1">
        <v>46012</v>
      </c>
      <c r="I675">
        <v>2</v>
      </c>
      <c r="J675">
        <v>12054</v>
      </c>
    </row>
    <row r="676" spans="1:10" x14ac:dyDescent="0.3">
      <c r="A676" t="s">
        <v>852</v>
      </c>
      <c r="B676" t="s">
        <v>11</v>
      </c>
      <c r="C676">
        <v>89</v>
      </c>
      <c r="D676" t="s">
        <v>12</v>
      </c>
      <c r="E676" t="s">
        <v>102</v>
      </c>
      <c r="F676" t="s">
        <v>23</v>
      </c>
      <c r="G676" s="1">
        <v>45904</v>
      </c>
      <c r="H676" s="1">
        <v>45915</v>
      </c>
      <c r="I676">
        <v>11</v>
      </c>
      <c r="J676">
        <v>130559</v>
      </c>
    </row>
    <row r="677" spans="1:10" x14ac:dyDescent="0.3">
      <c r="A677" t="s">
        <v>853</v>
      </c>
      <c r="B677" t="s">
        <v>107</v>
      </c>
      <c r="C677">
        <v>51</v>
      </c>
      <c r="D677" t="s">
        <v>12</v>
      </c>
      <c r="E677" t="s">
        <v>13</v>
      </c>
      <c r="F677" t="s">
        <v>27</v>
      </c>
      <c r="G677" s="1">
        <v>45970</v>
      </c>
      <c r="H677" s="1">
        <v>45977</v>
      </c>
      <c r="I677">
        <v>7</v>
      </c>
      <c r="J677">
        <v>67872</v>
      </c>
    </row>
    <row r="678" spans="1:10" x14ac:dyDescent="0.3">
      <c r="A678" t="s">
        <v>854</v>
      </c>
      <c r="B678" t="s">
        <v>615</v>
      </c>
      <c r="C678">
        <v>46</v>
      </c>
      <c r="D678" t="s">
        <v>12</v>
      </c>
      <c r="E678" t="s">
        <v>33</v>
      </c>
      <c r="F678" t="s">
        <v>42</v>
      </c>
      <c r="G678" s="1">
        <v>45710</v>
      </c>
      <c r="H678" s="1">
        <v>45712</v>
      </c>
      <c r="I678">
        <v>2</v>
      </c>
      <c r="J678">
        <v>20624</v>
      </c>
    </row>
    <row r="679" spans="1:10" x14ac:dyDescent="0.3">
      <c r="A679" t="s">
        <v>855</v>
      </c>
      <c r="B679" t="s">
        <v>209</v>
      </c>
      <c r="C679">
        <v>7</v>
      </c>
      <c r="D679" t="s">
        <v>17</v>
      </c>
      <c r="E679" t="s">
        <v>102</v>
      </c>
      <c r="F679" t="s">
        <v>59</v>
      </c>
      <c r="G679" s="1">
        <v>45809</v>
      </c>
      <c r="H679" s="1">
        <v>45822</v>
      </c>
      <c r="I679">
        <v>13</v>
      </c>
      <c r="J679">
        <v>119548</v>
      </c>
    </row>
    <row r="680" spans="1:10" x14ac:dyDescent="0.3">
      <c r="A680" t="s">
        <v>856</v>
      </c>
      <c r="B680" t="s">
        <v>199</v>
      </c>
      <c r="C680">
        <v>65</v>
      </c>
      <c r="D680" t="s">
        <v>12</v>
      </c>
      <c r="E680" t="s">
        <v>30</v>
      </c>
      <c r="F680" t="s">
        <v>23</v>
      </c>
      <c r="G680" s="1">
        <v>45676</v>
      </c>
      <c r="H680" s="1">
        <v>45688</v>
      </c>
      <c r="I680">
        <v>12</v>
      </c>
      <c r="J680">
        <v>76572</v>
      </c>
    </row>
    <row r="681" spans="1:10" x14ac:dyDescent="0.3">
      <c r="A681" t="s">
        <v>857</v>
      </c>
      <c r="B681" t="s">
        <v>247</v>
      </c>
      <c r="C681">
        <v>3</v>
      </c>
      <c r="D681" t="s">
        <v>12</v>
      </c>
      <c r="E681" t="s">
        <v>22</v>
      </c>
      <c r="F681" t="s">
        <v>34</v>
      </c>
      <c r="G681" s="1">
        <v>45676</v>
      </c>
      <c r="H681" s="1">
        <v>45681</v>
      </c>
      <c r="I681">
        <v>5</v>
      </c>
      <c r="J681">
        <v>52675</v>
      </c>
    </row>
    <row r="682" spans="1:10" x14ac:dyDescent="0.3">
      <c r="A682" t="s">
        <v>858</v>
      </c>
      <c r="B682" t="s">
        <v>109</v>
      </c>
      <c r="C682">
        <v>27</v>
      </c>
      <c r="D682" t="s">
        <v>12</v>
      </c>
      <c r="E682" t="s">
        <v>48</v>
      </c>
      <c r="F682" t="s">
        <v>23</v>
      </c>
      <c r="G682" s="1">
        <v>45996</v>
      </c>
      <c r="H682" s="1">
        <v>46009</v>
      </c>
      <c r="I682">
        <v>13</v>
      </c>
      <c r="J682">
        <v>155922</v>
      </c>
    </row>
    <row r="683" spans="1:10" x14ac:dyDescent="0.3">
      <c r="A683" t="s">
        <v>859</v>
      </c>
      <c r="B683" t="s">
        <v>426</v>
      </c>
      <c r="C683">
        <v>70</v>
      </c>
      <c r="D683" t="s">
        <v>12</v>
      </c>
      <c r="E683" t="s">
        <v>22</v>
      </c>
      <c r="F683" t="s">
        <v>59</v>
      </c>
      <c r="G683" s="1">
        <v>45918</v>
      </c>
      <c r="H683" s="1">
        <v>45929</v>
      </c>
      <c r="I683">
        <v>11</v>
      </c>
      <c r="J683">
        <v>60830</v>
      </c>
    </row>
    <row r="684" spans="1:10" x14ac:dyDescent="0.3">
      <c r="A684" t="s">
        <v>860</v>
      </c>
      <c r="B684" t="s">
        <v>690</v>
      </c>
      <c r="C684">
        <v>79</v>
      </c>
      <c r="D684" t="s">
        <v>17</v>
      </c>
      <c r="E684" t="s">
        <v>33</v>
      </c>
      <c r="F684" t="s">
        <v>14</v>
      </c>
      <c r="G684" s="1">
        <v>45952</v>
      </c>
      <c r="H684" s="1">
        <v>45961</v>
      </c>
      <c r="I684">
        <v>9</v>
      </c>
      <c r="J684">
        <v>36279</v>
      </c>
    </row>
    <row r="685" spans="1:10" x14ac:dyDescent="0.3">
      <c r="A685" t="s">
        <v>861</v>
      </c>
      <c r="B685" t="s">
        <v>116</v>
      </c>
      <c r="C685">
        <v>64</v>
      </c>
      <c r="D685" t="s">
        <v>17</v>
      </c>
      <c r="E685" t="s">
        <v>22</v>
      </c>
      <c r="F685" t="s">
        <v>34</v>
      </c>
      <c r="G685" s="1">
        <v>45893</v>
      </c>
      <c r="H685" s="1">
        <v>45902</v>
      </c>
      <c r="I685">
        <v>9</v>
      </c>
      <c r="J685">
        <v>75942</v>
      </c>
    </row>
    <row r="686" spans="1:10" x14ac:dyDescent="0.3">
      <c r="A686" t="s">
        <v>862</v>
      </c>
      <c r="B686" t="s">
        <v>132</v>
      </c>
      <c r="C686">
        <v>40</v>
      </c>
      <c r="D686" t="s">
        <v>17</v>
      </c>
      <c r="E686" t="s">
        <v>33</v>
      </c>
      <c r="F686" t="s">
        <v>14</v>
      </c>
      <c r="G686" s="1">
        <v>45930</v>
      </c>
      <c r="H686" s="1">
        <v>45939</v>
      </c>
      <c r="I686">
        <v>9</v>
      </c>
      <c r="J686">
        <v>51435</v>
      </c>
    </row>
    <row r="687" spans="1:10" x14ac:dyDescent="0.3">
      <c r="A687" t="s">
        <v>863</v>
      </c>
      <c r="B687" t="s">
        <v>74</v>
      </c>
      <c r="C687">
        <v>17</v>
      </c>
      <c r="D687" t="s">
        <v>17</v>
      </c>
      <c r="E687" t="s">
        <v>102</v>
      </c>
      <c r="F687" t="s">
        <v>59</v>
      </c>
      <c r="G687" s="1">
        <v>45683</v>
      </c>
      <c r="H687" s="1">
        <v>45688</v>
      </c>
      <c r="I687">
        <v>5</v>
      </c>
      <c r="J687">
        <v>22540</v>
      </c>
    </row>
    <row r="688" spans="1:10" x14ac:dyDescent="0.3">
      <c r="A688" t="s">
        <v>864</v>
      </c>
      <c r="B688" t="s">
        <v>41</v>
      </c>
      <c r="C688">
        <v>79</v>
      </c>
      <c r="D688" t="s">
        <v>12</v>
      </c>
      <c r="E688" t="s">
        <v>45</v>
      </c>
      <c r="F688" t="s">
        <v>62</v>
      </c>
      <c r="G688" s="1">
        <v>46001</v>
      </c>
      <c r="H688" s="1">
        <v>46009</v>
      </c>
      <c r="I688">
        <v>8</v>
      </c>
      <c r="J688">
        <v>76856</v>
      </c>
    </row>
    <row r="689" spans="1:10" x14ac:dyDescent="0.3">
      <c r="A689" t="s">
        <v>865</v>
      </c>
      <c r="B689" t="s">
        <v>66</v>
      </c>
      <c r="C689">
        <v>70</v>
      </c>
      <c r="D689" t="s">
        <v>17</v>
      </c>
      <c r="E689" t="s">
        <v>22</v>
      </c>
      <c r="F689" t="s">
        <v>59</v>
      </c>
      <c r="G689" s="1">
        <v>45841</v>
      </c>
      <c r="H689" s="1">
        <v>45846</v>
      </c>
      <c r="I689">
        <v>5</v>
      </c>
      <c r="J689">
        <v>39915</v>
      </c>
    </row>
    <row r="690" spans="1:10" x14ac:dyDescent="0.3">
      <c r="A690" t="s">
        <v>866</v>
      </c>
      <c r="B690" t="s">
        <v>467</v>
      </c>
      <c r="C690">
        <v>29</v>
      </c>
      <c r="D690" t="s">
        <v>17</v>
      </c>
      <c r="E690" t="s">
        <v>39</v>
      </c>
      <c r="F690" t="s">
        <v>62</v>
      </c>
      <c r="G690" s="1">
        <v>45787</v>
      </c>
      <c r="H690" s="1">
        <v>45795</v>
      </c>
      <c r="I690">
        <v>8</v>
      </c>
      <c r="J690">
        <v>56720</v>
      </c>
    </row>
    <row r="691" spans="1:10" x14ac:dyDescent="0.3">
      <c r="A691" t="s">
        <v>867</v>
      </c>
      <c r="B691" t="s">
        <v>114</v>
      </c>
      <c r="C691">
        <v>66</v>
      </c>
      <c r="D691" t="s">
        <v>17</v>
      </c>
      <c r="E691" t="s">
        <v>48</v>
      </c>
      <c r="F691" t="s">
        <v>42</v>
      </c>
      <c r="G691" s="1">
        <v>45766</v>
      </c>
      <c r="H691" s="1">
        <v>45779</v>
      </c>
      <c r="I691">
        <v>13</v>
      </c>
      <c r="J691">
        <v>135473</v>
      </c>
    </row>
    <row r="692" spans="1:10" x14ac:dyDescent="0.3">
      <c r="A692" t="s">
        <v>868</v>
      </c>
      <c r="B692" t="s">
        <v>181</v>
      </c>
      <c r="C692">
        <v>16</v>
      </c>
      <c r="D692" t="s">
        <v>17</v>
      </c>
      <c r="E692" t="s">
        <v>45</v>
      </c>
      <c r="F692" t="s">
        <v>23</v>
      </c>
      <c r="G692" s="1">
        <v>45768</v>
      </c>
      <c r="H692" s="1">
        <v>45778</v>
      </c>
      <c r="I692">
        <v>10</v>
      </c>
      <c r="J692">
        <v>81250</v>
      </c>
    </row>
    <row r="693" spans="1:10" x14ac:dyDescent="0.3">
      <c r="A693" t="s">
        <v>869</v>
      </c>
      <c r="B693" t="s">
        <v>419</v>
      </c>
      <c r="C693">
        <v>37</v>
      </c>
      <c r="D693" t="s">
        <v>17</v>
      </c>
      <c r="E693" t="s">
        <v>39</v>
      </c>
      <c r="F693" t="s">
        <v>14</v>
      </c>
      <c r="G693" s="1">
        <v>45751</v>
      </c>
      <c r="H693" s="1">
        <v>45755</v>
      </c>
      <c r="I693">
        <v>4</v>
      </c>
      <c r="J693">
        <v>39000</v>
      </c>
    </row>
    <row r="694" spans="1:10" x14ac:dyDescent="0.3">
      <c r="A694" t="s">
        <v>870</v>
      </c>
      <c r="B694" t="s">
        <v>156</v>
      </c>
      <c r="C694">
        <v>39</v>
      </c>
      <c r="D694" t="s">
        <v>12</v>
      </c>
      <c r="E694" t="s">
        <v>18</v>
      </c>
      <c r="F694" t="s">
        <v>34</v>
      </c>
      <c r="G694" s="1">
        <v>45783</v>
      </c>
      <c r="H694" s="1">
        <v>45787</v>
      </c>
      <c r="I694">
        <v>4</v>
      </c>
      <c r="J694">
        <v>30696</v>
      </c>
    </row>
    <row r="695" spans="1:10" x14ac:dyDescent="0.3">
      <c r="A695" t="s">
        <v>871</v>
      </c>
      <c r="B695" t="s">
        <v>371</v>
      </c>
      <c r="C695">
        <v>49</v>
      </c>
      <c r="D695" t="s">
        <v>12</v>
      </c>
      <c r="E695" t="s">
        <v>18</v>
      </c>
      <c r="F695" t="s">
        <v>59</v>
      </c>
      <c r="G695" s="1">
        <v>45810</v>
      </c>
      <c r="H695" s="1">
        <v>45816</v>
      </c>
      <c r="I695">
        <v>6</v>
      </c>
      <c r="J695">
        <v>40644</v>
      </c>
    </row>
    <row r="696" spans="1:10" x14ac:dyDescent="0.3">
      <c r="A696" t="s">
        <v>872</v>
      </c>
      <c r="B696" t="s">
        <v>759</v>
      </c>
      <c r="C696">
        <v>63</v>
      </c>
      <c r="D696" t="s">
        <v>17</v>
      </c>
      <c r="E696" t="s">
        <v>18</v>
      </c>
      <c r="F696" t="s">
        <v>27</v>
      </c>
      <c r="G696" s="1">
        <v>45797</v>
      </c>
      <c r="H696" s="1">
        <v>45803</v>
      </c>
      <c r="I696">
        <v>6</v>
      </c>
      <c r="J696">
        <v>45210</v>
      </c>
    </row>
    <row r="697" spans="1:10" x14ac:dyDescent="0.3">
      <c r="A697" t="s">
        <v>873</v>
      </c>
      <c r="B697" t="s">
        <v>301</v>
      </c>
      <c r="C697">
        <v>12</v>
      </c>
      <c r="D697" t="s">
        <v>17</v>
      </c>
      <c r="E697" t="s">
        <v>48</v>
      </c>
      <c r="F697" t="s">
        <v>59</v>
      </c>
      <c r="G697" s="1">
        <v>45919</v>
      </c>
      <c r="H697" s="1">
        <v>45932</v>
      </c>
      <c r="I697">
        <v>13</v>
      </c>
      <c r="J697">
        <v>85098</v>
      </c>
    </row>
    <row r="698" spans="1:10" x14ac:dyDescent="0.3">
      <c r="A698" t="s">
        <v>874</v>
      </c>
      <c r="B698" t="s">
        <v>47</v>
      </c>
      <c r="C698">
        <v>66</v>
      </c>
      <c r="D698" t="s">
        <v>12</v>
      </c>
      <c r="E698" t="s">
        <v>22</v>
      </c>
      <c r="F698" t="s">
        <v>14</v>
      </c>
      <c r="G698" s="1">
        <v>45943</v>
      </c>
      <c r="H698" s="1">
        <v>45946</v>
      </c>
      <c r="I698">
        <v>3</v>
      </c>
      <c r="J698">
        <v>17523</v>
      </c>
    </row>
    <row r="699" spans="1:10" x14ac:dyDescent="0.3">
      <c r="A699" t="s">
        <v>875</v>
      </c>
      <c r="B699" t="s">
        <v>207</v>
      </c>
      <c r="C699">
        <v>55</v>
      </c>
      <c r="D699" t="s">
        <v>12</v>
      </c>
      <c r="E699" t="s">
        <v>30</v>
      </c>
      <c r="F699" t="s">
        <v>23</v>
      </c>
      <c r="G699" s="1">
        <v>45859</v>
      </c>
      <c r="H699" s="1">
        <v>45860</v>
      </c>
      <c r="I699">
        <v>1</v>
      </c>
      <c r="J699">
        <v>10280</v>
      </c>
    </row>
    <row r="700" spans="1:10" x14ac:dyDescent="0.3">
      <c r="A700" t="s">
        <v>876</v>
      </c>
      <c r="B700" t="s">
        <v>343</v>
      </c>
      <c r="C700">
        <v>47</v>
      </c>
      <c r="D700" t="s">
        <v>17</v>
      </c>
      <c r="E700" t="s">
        <v>39</v>
      </c>
      <c r="F700" t="s">
        <v>62</v>
      </c>
      <c r="G700" s="1">
        <v>45876</v>
      </c>
      <c r="H700" s="1">
        <v>45889</v>
      </c>
      <c r="I700">
        <v>13</v>
      </c>
      <c r="J700">
        <v>147849</v>
      </c>
    </row>
    <row r="701" spans="1:10" x14ac:dyDescent="0.3">
      <c r="A701" t="s">
        <v>877</v>
      </c>
      <c r="B701" t="s">
        <v>118</v>
      </c>
      <c r="C701">
        <v>73</v>
      </c>
      <c r="D701" t="s">
        <v>17</v>
      </c>
      <c r="E701" t="s">
        <v>26</v>
      </c>
      <c r="F701" t="s">
        <v>42</v>
      </c>
      <c r="G701" s="1">
        <v>45964</v>
      </c>
      <c r="H701" s="1">
        <v>45974</v>
      </c>
      <c r="I701">
        <v>10</v>
      </c>
      <c r="J701">
        <v>103930</v>
      </c>
    </row>
    <row r="702" spans="1:10" x14ac:dyDescent="0.3">
      <c r="A702" t="s">
        <v>878</v>
      </c>
      <c r="B702" t="s">
        <v>38</v>
      </c>
      <c r="C702">
        <v>86</v>
      </c>
      <c r="D702" t="s">
        <v>12</v>
      </c>
      <c r="E702" t="s">
        <v>13</v>
      </c>
      <c r="F702" t="s">
        <v>27</v>
      </c>
      <c r="G702" s="1">
        <v>45809</v>
      </c>
      <c r="H702" s="1">
        <v>45810</v>
      </c>
      <c r="I702">
        <v>1</v>
      </c>
      <c r="J702">
        <v>10724</v>
      </c>
    </row>
    <row r="703" spans="1:10" x14ac:dyDescent="0.3">
      <c r="A703" t="s">
        <v>879</v>
      </c>
      <c r="B703" t="s">
        <v>283</v>
      </c>
      <c r="C703">
        <v>33</v>
      </c>
      <c r="D703" t="s">
        <v>17</v>
      </c>
      <c r="E703" t="s">
        <v>33</v>
      </c>
      <c r="F703" t="s">
        <v>27</v>
      </c>
      <c r="G703" s="1">
        <v>45821</v>
      </c>
      <c r="H703" s="1">
        <v>45824</v>
      </c>
      <c r="I703">
        <v>3</v>
      </c>
      <c r="J703">
        <v>34629</v>
      </c>
    </row>
    <row r="704" spans="1:10" x14ac:dyDescent="0.3">
      <c r="A704" t="s">
        <v>880</v>
      </c>
      <c r="B704" t="s">
        <v>682</v>
      </c>
      <c r="C704">
        <v>18</v>
      </c>
      <c r="D704" t="s">
        <v>12</v>
      </c>
      <c r="E704" t="s">
        <v>22</v>
      </c>
      <c r="F704" t="s">
        <v>19</v>
      </c>
      <c r="G704" s="1">
        <v>45660</v>
      </c>
      <c r="H704" s="1">
        <v>45672</v>
      </c>
      <c r="I704">
        <v>12</v>
      </c>
      <c r="J704">
        <v>131724</v>
      </c>
    </row>
    <row r="705" spans="1:10" x14ac:dyDescent="0.3">
      <c r="A705" t="s">
        <v>881</v>
      </c>
      <c r="B705" t="s">
        <v>84</v>
      </c>
      <c r="C705">
        <v>59</v>
      </c>
      <c r="D705" t="s">
        <v>12</v>
      </c>
      <c r="E705" t="s">
        <v>102</v>
      </c>
      <c r="F705" t="s">
        <v>42</v>
      </c>
      <c r="G705" s="1">
        <v>45954</v>
      </c>
      <c r="H705" s="1">
        <v>45962</v>
      </c>
      <c r="I705">
        <v>8</v>
      </c>
      <c r="J705">
        <v>33176</v>
      </c>
    </row>
    <row r="706" spans="1:10" x14ac:dyDescent="0.3">
      <c r="A706" t="s">
        <v>882</v>
      </c>
      <c r="B706" t="s">
        <v>275</v>
      </c>
      <c r="C706">
        <v>18</v>
      </c>
      <c r="D706" t="s">
        <v>17</v>
      </c>
      <c r="E706" t="s">
        <v>39</v>
      </c>
      <c r="F706" t="s">
        <v>27</v>
      </c>
      <c r="G706" s="1">
        <v>45957</v>
      </c>
      <c r="H706" s="1">
        <v>45959</v>
      </c>
      <c r="I706">
        <v>2</v>
      </c>
      <c r="J706">
        <v>11576</v>
      </c>
    </row>
    <row r="707" spans="1:10" x14ac:dyDescent="0.3">
      <c r="A707" t="s">
        <v>883</v>
      </c>
      <c r="B707" t="s">
        <v>61</v>
      </c>
      <c r="C707">
        <v>22</v>
      </c>
      <c r="D707" t="s">
        <v>17</v>
      </c>
      <c r="E707" t="s">
        <v>48</v>
      </c>
      <c r="F707" t="s">
        <v>62</v>
      </c>
      <c r="G707" s="1">
        <v>45957</v>
      </c>
      <c r="H707" s="1">
        <v>45965</v>
      </c>
      <c r="I707">
        <v>8</v>
      </c>
      <c r="J707">
        <v>53904</v>
      </c>
    </row>
    <row r="708" spans="1:10" x14ac:dyDescent="0.3">
      <c r="A708" t="s">
        <v>884</v>
      </c>
      <c r="B708" t="s">
        <v>118</v>
      </c>
      <c r="C708">
        <v>49</v>
      </c>
      <c r="D708" t="s">
        <v>17</v>
      </c>
      <c r="E708" t="s">
        <v>33</v>
      </c>
      <c r="F708" t="s">
        <v>62</v>
      </c>
      <c r="G708" s="1">
        <v>45719</v>
      </c>
      <c r="H708" s="1">
        <v>45734</v>
      </c>
      <c r="I708">
        <v>15</v>
      </c>
      <c r="J708">
        <v>127155</v>
      </c>
    </row>
    <row r="709" spans="1:10" x14ac:dyDescent="0.3">
      <c r="A709" t="s">
        <v>885</v>
      </c>
      <c r="B709" t="s">
        <v>312</v>
      </c>
      <c r="C709">
        <v>18</v>
      </c>
      <c r="D709" t="s">
        <v>17</v>
      </c>
      <c r="E709" t="s">
        <v>13</v>
      </c>
      <c r="F709" t="s">
        <v>42</v>
      </c>
      <c r="G709" s="1">
        <v>45662</v>
      </c>
      <c r="H709" s="1">
        <v>45668</v>
      </c>
      <c r="I709">
        <v>6</v>
      </c>
      <c r="J709">
        <v>44418</v>
      </c>
    </row>
    <row r="710" spans="1:10" x14ac:dyDescent="0.3">
      <c r="A710" t="s">
        <v>886</v>
      </c>
      <c r="B710" t="s">
        <v>151</v>
      </c>
      <c r="C710">
        <v>32</v>
      </c>
      <c r="D710" t="s">
        <v>12</v>
      </c>
      <c r="E710" t="s">
        <v>26</v>
      </c>
      <c r="F710" t="s">
        <v>19</v>
      </c>
      <c r="G710" s="1">
        <v>45865</v>
      </c>
      <c r="H710" s="1">
        <v>45874</v>
      </c>
      <c r="I710">
        <v>9</v>
      </c>
      <c r="J710">
        <v>41580</v>
      </c>
    </row>
    <row r="711" spans="1:10" x14ac:dyDescent="0.3">
      <c r="A711" t="s">
        <v>887</v>
      </c>
      <c r="B711" t="s">
        <v>231</v>
      </c>
      <c r="C711">
        <v>73</v>
      </c>
      <c r="D711" t="s">
        <v>12</v>
      </c>
      <c r="E711" t="s">
        <v>26</v>
      </c>
      <c r="F711" t="s">
        <v>14</v>
      </c>
      <c r="G711" s="1">
        <v>45806</v>
      </c>
      <c r="H711" s="1">
        <v>45812</v>
      </c>
      <c r="I711">
        <v>6</v>
      </c>
      <c r="J711">
        <v>29892</v>
      </c>
    </row>
    <row r="712" spans="1:10" x14ac:dyDescent="0.3">
      <c r="A712" t="s">
        <v>888</v>
      </c>
      <c r="B712" t="s">
        <v>100</v>
      </c>
      <c r="C712">
        <v>66</v>
      </c>
      <c r="D712" t="s">
        <v>12</v>
      </c>
      <c r="E712" t="s">
        <v>48</v>
      </c>
      <c r="F712" t="s">
        <v>34</v>
      </c>
      <c r="G712" s="1">
        <v>45910</v>
      </c>
      <c r="H712" s="1">
        <v>45923</v>
      </c>
      <c r="I712">
        <v>13</v>
      </c>
      <c r="J712">
        <v>155987</v>
      </c>
    </row>
    <row r="713" spans="1:10" x14ac:dyDescent="0.3">
      <c r="A713" t="s">
        <v>889</v>
      </c>
      <c r="B713" t="s">
        <v>120</v>
      </c>
      <c r="C713">
        <v>26</v>
      </c>
      <c r="D713" t="s">
        <v>12</v>
      </c>
      <c r="E713" t="s">
        <v>39</v>
      </c>
      <c r="F713" t="s">
        <v>27</v>
      </c>
      <c r="G713" s="1">
        <v>45740</v>
      </c>
      <c r="H713" s="1">
        <v>45751</v>
      </c>
      <c r="I713">
        <v>11</v>
      </c>
      <c r="J713">
        <v>63096</v>
      </c>
    </row>
    <row r="714" spans="1:10" x14ac:dyDescent="0.3">
      <c r="A714" t="s">
        <v>890</v>
      </c>
      <c r="B714" t="s">
        <v>125</v>
      </c>
      <c r="C714">
        <v>3</v>
      </c>
      <c r="D714" t="s">
        <v>17</v>
      </c>
      <c r="E714" t="s">
        <v>39</v>
      </c>
      <c r="F714" t="s">
        <v>62</v>
      </c>
      <c r="G714" s="1">
        <v>45886</v>
      </c>
      <c r="H714" s="1">
        <v>45894</v>
      </c>
      <c r="I714">
        <v>8</v>
      </c>
      <c r="J714">
        <v>64184</v>
      </c>
    </row>
    <row r="715" spans="1:10" x14ac:dyDescent="0.3">
      <c r="A715" t="s">
        <v>891</v>
      </c>
      <c r="B715" t="s">
        <v>44</v>
      </c>
      <c r="C715">
        <v>74</v>
      </c>
      <c r="D715" t="s">
        <v>17</v>
      </c>
      <c r="E715" t="s">
        <v>39</v>
      </c>
      <c r="F715" t="s">
        <v>62</v>
      </c>
      <c r="G715" s="1">
        <v>45908</v>
      </c>
      <c r="H715" s="1">
        <v>45909</v>
      </c>
      <c r="I715">
        <v>1</v>
      </c>
      <c r="J715">
        <v>8061</v>
      </c>
    </row>
    <row r="716" spans="1:10" x14ac:dyDescent="0.3">
      <c r="A716" t="s">
        <v>892</v>
      </c>
      <c r="B716" t="s">
        <v>96</v>
      </c>
      <c r="C716">
        <v>87</v>
      </c>
      <c r="D716" t="s">
        <v>17</v>
      </c>
      <c r="E716" t="s">
        <v>22</v>
      </c>
      <c r="F716" t="s">
        <v>14</v>
      </c>
      <c r="G716" s="1">
        <v>45682</v>
      </c>
      <c r="H716" s="1">
        <v>45684</v>
      </c>
      <c r="I716">
        <v>2</v>
      </c>
      <c r="J716">
        <v>18980</v>
      </c>
    </row>
    <row r="717" spans="1:10" x14ac:dyDescent="0.3">
      <c r="A717" t="s">
        <v>893</v>
      </c>
      <c r="B717" t="s">
        <v>308</v>
      </c>
      <c r="C717">
        <v>10</v>
      </c>
      <c r="D717" t="s">
        <v>17</v>
      </c>
      <c r="E717" t="s">
        <v>102</v>
      </c>
      <c r="F717" t="s">
        <v>23</v>
      </c>
      <c r="G717" s="1">
        <v>45867</v>
      </c>
      <c r="H717" s="1">
        <v>45869</v>
      </c>
      <c r="I717">
        <v>2</v>
      </c>
      <c r="J717">
        <v>13188</v>
      </c>
    </row>
    <row r="718" spans="1:10" x14ac:dyDescent="0.3">
      <c r="A718" t="s">
        <v>894</v>
      </c>
      <c r="B718" t="s">
        <v>130</v>
      </c>
      <c r="C718">
        <v>8</v>
      </c>
      <c r="D718" t="s">
        <v>12</v>
      </c>
      <c r="E718" t="s">
        <v>102</v>
      </c>
      <c r="F718" t="s">
        <v>27</v>
      </c>
      <c r="G718" s="1">
        <v>45678</v>
      </c>
      <c r="H718" s="1">
        <v>45683</v>
      </c>
      <c r="I718">
        <v>5</v>
      </c>
      <c r="J718">
        <v>24740</v>
      </c>
    </row>
    <row r="719" spans="1:10" x14ac:dyDescent="0.3">
      <c r="A719" t="s">
        <v>895</v>
      </c>
      <c r="B719" t="s">
        <v>303</v>
      </c>
      <c r="C719">
        <v>46</v>
      </c>
      <c r="D719" t="s">
        <v>17</v>
      </c>
      <c r="E719" t="s">
        <v>102</v>
      </c>
      <c r="F719" t="s">
        <v>27</v>
      </c>
      <c r="G719" s="1">
        <v>45676</v>
      </c>
      <c r="H719" s="1">
        <v>45691</v>
      </c>
      <c r="I719">
        <v>15</v>
      </c>
      <c r="J719">
        <v>66450</v>
      </c>
    </row>
    <row r="720" spans="1:10" x14ac:dyDescent="0.3">
      <c r="A720" t="s">
        <v>896</v>
      </c>
      <c r="B720" t="s">
        <v>130</v>
      </c>
      <c r="C720">
        <v>14</v>
      </c>
      <c r="D720" t="s">
        <v>12</v>
      </c>
      <c r="E720" t="s">
        <v>48</v>
      </c>
      <c r="F720" t="s">
        <v>23</v>
      </c>
      <c r="G720" s="1">
        <v>45685</v>
      </c>
      <c r="H720" s="1">
        <v>45699</v>
      </c>
      <c r="I720">
        <v>14</v>
      </c>
      <c r="J720">
        <v>113358</v>
      </c>
    </row>
    <row r="721" spans="1:10" x14ac:dyDescent="0.3">
      <c r="A721" t="s">
        <v>897</v>
      </c>
      <c r="B721" t="s">
        <v>185</v>
      </c>
      <c r="C721">
        <v>5</v>
      </c>
      <c r="D721" t="s">
        <v>12</v>
      </c>
      <c r="E721" t="s">
        <v>45</v>
      </c>
      <c r="F721" t="s">
        <v>19</v>
      </c>
      <c r="G721" s="1">
        <v>46000</v>
      </c>
      <c r="H721" s="1">
        <v>46004</v>
      </c>
      <c r="I721">
        <v>4</v>
      </c>
      <c r="J721">
        <v>32904</v>
      </c>
    </row>
    <row r="722" spans="1:10" x14ac:dyDescent="0.3">
      <c r="A722" t="s">
        <v>898</v>
      </c>
      <c r="B722" t="s">
        <v>162</v>
      </c>
      <c r="C722">
        <v>29</v>
      </c>
      <c r="D722" t="s">
        <v>17</v>
      </c>
      <c r="E722" t="s">
        <v>102</v>
      </c>
      <c r="F722" t="s">
        <v>62</v>
      </c>
      <c r="G722" s="1">
        <v>45890</v>
      </c>
      <c r="H722" s="1">
        <v>45895</v>
      </c>
      <c r="I722">
        <v>5</v>
      </c>
      <c r="J722">
        <v>52080</v>
      </c>
    </row>
    <row r="723" spans="1:10" x14ac:dyDescent="0.3">
      <c r="A723" t="s">
        <v>899</v>
      </c>
      <c r="B723" t="s">
        <v>900</v>
      </c>
      <c r="C723">
        <v>90</v>
      </c>
      <c r="D723" t="s">
        <v>17</v>
      </c>
      <c r="E723" t="s">
        <v>26</v>
      </c>
      <c r="F723" t="s">
        <v>34</v>
      </c>
      <c r="G723" s="1">
        <v>45921</v>
      </c>
      <c r="H723" s="1">
        <v>45924</v>
      </c>
      <c r="I723">
        <v>3</v>
      </c>
      <c r="J723">
        <v>14544</v>
      </c>
    </row>
    <row r="724" spans="1:10" x14ac:dyDescent="0.3">
      <c r="A724" t="s">
        <v>901</v>
      </c>
      <c r="B724" t="s">
        <v>792</v>
      </c>
      <c r="C724">
        <v>62</v>
      </c>
      <c r="D724" t="s">
        <v>12</v>
      </c>
      <c r="E724" t="s">
        <v>45</v>
      </c>
      <c r="F724" t="s">
        <v>27</v>
      </c>
      <c r="G724" s="1">
        <v>45722</v>
      </c>
      <c r="H724" s="1">
        <v>45734</v>
      </c>
      <c r="I724">
        <v>12</v>
      </c>
      <c r="J724">
        <v>52044</v>
      </c>
    </row>
    <row r="725" spans="1:10" x14ac:dyDescent="0.3">
      <c r="A725" t="s">
        <v>902</v>
      </c>
      <c r="B725" t="s">
        <v>47</v>
      </c>
      <c r="C725">
        <v>90</v>
      </c>
      <c r="D725" t="s">
        <v>12</v>
      </c>
      <c r="E725" t="s">
        <v>48</v>
      </c>
      <c r="F725" t="s">
        <v>14</v>
      </c>
      <c r="G725" s="1">
        <v>45873</v>
      </c>
      <c r="H725" s="1">
        <v>45887</v>
      </c>
      <c r="I725">
        <v>14</v>
      </c>
      <c r="J725">
        <v>130200</v>
      </c>
    </row>
    <row r="726" spans="1:10" x14ac:dyDescent="0.3">
      <c r="A726" t="s">
        <v>903</v>
      </c>
      <c r="B726" t="s">
        <v>74</v>
      </c>
      <c r="C726">
        <v>12</v>
      </c>
      <c r="D726" t="s">
        <v>12</v>
      </c>
      <c r="E726" t="s">
        <v>22</v>
      </c>
      <c r="F726" t="s">
        <v>14</v>
      </c>
      <c r="G726" s="1">
        <v>45661</v>
      </c>
      <c r="H726" s="1">
        <v>45676</v>
      </c>
      <c r="I726">
        <v>15</v>
      </c>
      <c r="J726">
        <v>153480</v>
      </c>
    </row>
    <row r="727" spans="1:10" x14ac:dyDescent="0.3">
      <c r="A727" t="s">
        <v>904</v>
      </c>
      <c r="B727" t="s">
        <v>109</v>
      </c>
      <c r="C727">
        <v>4</v>
      </c>
      <c r="D727" t="s">
        <v>12</v>
      </c>
      <c r="E727" t="s">
        <v>18</v>
      </c>
      <c r="F727" t="s">
        <v>34</v>
      </c>
      <c r="G727" s="1">
        <v>46005</v>
      </c>
      <c r="H727" s="1">
        <v>46015</v>
      </c>
      <c r="I727">
        <v>10</v>
      </c>
      <c r="J727">
        <v>86490</v>
      </c>
    </row>
    <row r="728" spans="1:10" x14ac:dyDescent="0.3">
      <c r="A728" t="s">
        <v>905</v>
      </c>
      <c r="B728" t="s">
        <v>366</v>
      </c>
      <c r="C728">
        <v>55</v>
      </c>
      <c r="D728" t="s">
        <v>12</v>
      </c>
      <c r="E728" t="s">
        <v>33</v>
      </c>
      <c r="F728" t="s">
        <v>59</v>
      </c>
      <c r="G728" s="1">
        <v>45791</v>
      </c>
      <c r="H728" s="1">
        <v>45805</v>
      </c>
      <c r="I728">
        <v>14</v>
      </c>
      <c r="J728">
        <v>103824</v>
      </c>
    </row>
    <row r="729" spans="1:10" x14ac:dyDescent="0.3">
      <c r="A729" t="s">
        <v>906</v>
      </c>
      <c r="B729" t="s">
        <v>203</v>
      </c>
      <c r="C729">
        <v>72</v>
      </c>
      <c r="D729" t="s">
        <v>17</v>
      </c>
      <c r="E729" t="s">
        <v>26</v>
      </c>
      <c r="F729" t="s">
        <v>59</v>
      </c>
      <c r="G729" s="1">
        <v>45681</v>
      </c>
      <c r="H729" s="1">
        <v>45690</v>
      </c>
      <c r="I729">
        <v>9</v>
      </c>
      <c r="J729">
        <v>52749</v>
      </c>
    </row>
    <row r="730" spans="1:10" x14ac:dyDescent="0.3">
      <c r="A730" t="s">
        <v>907</v>
      </c>
      <c r="B730" t="s">
        <v>196</v>
      </c>
      <c r="C730">
        <v>77</v>
      </c>
      <c r="D730" t="s">
        <v>17</v>
      </c>
      <c r="E730" t="s">
        <v>102</v>
      </c>
      <c r="F730" t="s">
        <v>23</v>
      </c>
      <c r="G730" s="1">
        <v>45850</v>
      </c>
      <c r="H730" s="1">
        <v>45851</v>
      </c>
      <c r="I730">
        <v>1</v>
      </c>
      <c r="J730">
        <v>11784</v>
      </c>
    </row>
    <row r="731" spans="1:10" x14ac:dyDescent="0.3">
      <c r="A731" t="s">
        <v>908</v>
      </c>
      <c r="B731" t="s">
        <v>116</v>
      </c>
      <c r="C731">
        <v>9</v>
      </c>
      <c r="D731" t="s">
        <v>12</v>
      </c>
      <c r="E731" t="s">
        <v>45</v>
      </c>
      <c r="F731" t="s">
        <v>34</v>
      </c>
      <c r="G731" s="1">
        <v>45806</v>
      </c>
      <c r="H731" s="1">
        <v>45807</v>
      </c>
      <c r="I731">
        <v>1</v>
      </c>
      <c r="J731">
        <v>10048</v>
      </c>
    </row>
    <row r="732" spans="1:10" x14ac:dyDescent="0.3">
      <c r="A732" t="s">
        <v>909</v>
      </c>
      <c r="B732" t="s">
        <v>550</v>
      </c>
      <c r="C732">
        <v>82</v>
      </c>
      <c r="D732" t="s">
        <v>17</v>
      </c>
      <c r="E732" t="s">
        <v>18</v>
      </c>
      <c r="F732" t="s">
        <v>42</v>
      </c>
      <c r="G732" s="1">
        <v>45969</v>
      </c>
      <c r="H732" s="1">
        <v>45975</v>
      </c>
      <c r="I732">
        <v>6</v>
      </c>
      <c r="J732">
        <v>53256</v>
      </c>
    </row>
    <row r="733" spans="1:10" x14ac:dyDescent="0.3">
      <c r="A733" t="s">
        <v>910</v>
      </c>
      <c r="B733" t="s">
        <v>120</v>
      </c>
      <c r="C733">
        <v>68</v>
      </c>
      <c r="D733" t="s">
        <v>17</v>
      </c>
      <c r="E733" t="s">
        <v>13</v>
      </c>
      <c r="F733" t="s">
        <v>59</v>
      </c>
      <c r="G733" s="1">
        <v>45836</v>
      </c>
      <c r="H733" s="1">
        <v>45844</v>
      </c>
      <c r="I733">
        <v>8</v>
      </c>
      <c r="J733">
        <v>78280</v>
      </c>
    </row>
    <row r="734" spans="1:10" x14ac:dyDescent="0.3">
      <c r="A734" t="s">
        <v>911</v>
      </c>
      <c r="B734" t="s">
        <v>107</v>
      </c>
      <c r="C734">
        <v>42</v>
      </c>
      <c r="D734" t="s">
        <v>17</v>
      </c>
      <c r="E734" t="s">
        <v>13</v>
      </c>
      <c r="F734" t="s">
        <v>34</v>
      </c>
      <c r="G734" s="1">
        <v>45953</v>
      </c>
      <c r="H734" s="1">
        <v>45960</v>
      </c>
      <c r="I734">
        <v>7</v>
      </c>
      <c r="J734">
        <v>31591</v>
      </c>
    </row>
    <row r="735" spans="1:10" x14ac:dyDescent="0.3">
      <c r="A735" t="s">
        <v>912</v>
      </c>
      <c r="B735" t="s">
        <v>267</v>
      </c>
      <c r="C735">
        <v>9</v>
      </c>
      <c r="D735" t="s">
        <v>12</v>
      </c>
      <c r="E735" t="s">
        <v>48</v>
      </c>
      <c r="F735" t="s">
        <v>19</v>
      </c>
      <c r="G735" s="1">
        <v>45776</v>
      </c>
      <c r="H735" s="1">
        <v>45784</v>
      </c>
      <c r="I735">
        <v>8</v>
      </c>
      <c r="J735">
        <v>92752</v>
      </c>
    </row>
    <row r="736" spans="1:10" x14ac:dyDescent="0.3">
      <c r="A736" t="s">
        <v>913</v>
      </c>
      <c r="B736" t="s">
        <v>283</v>
      </c>
      <c r="C736">
        <v>34</v>
      </c>
      <c r="D736" t="s">
        <v>12</v>
      </c>
      <c r="E736" t="s">
        <v>48</v>
      </c>
      <c r="F736" t="s">
        <v>27</v>
      </c>
      <c r="G736" s="1">
        <v>45753</v>
      </c>
      <c r="H736" s="1">
        <v>45762</v>
      </c>
      <c r="I736">
        <v>9</v>
      </c>
      <c r="J736">
        <v>46494</v>
      </c>
    </row>
    <row r="737" spans="1:10" x14ac:dyDescent="0.3">
      <c r="A737" t="s">
        <v>914</v>
      </c>
      <c r="B737" t="s">
        <v>475</v>
      </c>
      <c r="C737">
        <v>61</v>
      </c>
      <c r="D737" t="s">
        <v>17</v>
      </c>
      <c r="E737" t="s">
        <v>22</v>
      </c>
      <c r="F737" t="s">
        <v>19</v>
      </c>
      <c r="G737" s="1">
        <v>45893</v>
      </c>
      <c r="H737" s="1">
        <v>45900</v>
      </c>
      <c r="I737">
        <v>7</v>
      </c>
      <c r="J737">
        <v>80633</v>
      </c>
    </row>
    <row r="738" spans="1:10" x14ac:dyDescent="0.3">
      <c r="A738" t="s">
        <v>915</v>
      </c>
      <c r="B738" t="s">
        <v>330</v>
      </c>
      <c r="C738">
        <v>42</v>
      </c>
      <c r="D738" t="s">
        <v>17</v>
      </c>
      <c r="E738" t="s">
        <v>45</v>
      </c>
      <c r="F738" t="s">
        <v>19</v>
      </c>
      <c r="G738" s="1">
        <v>45948</v>
      </c>
      <c r="H738" s="1">
        <v>45955</v>
      </c>
      <c r="I738">
        <v>7</v>
      </c>
      <c r="J738">
        <v>55454</v>
      </c>
    </row>
    <row r="739" spans="1:10" x14ac:dyDescent="0.3">
      <c r="A739" t="s">
        <v>916</v>
      </c>
      <c r="B739" t="s">
        <v>25</v>
      </c>
      <c r="C739">
        <v>65</v>
      </c>
      <c r="D739" t="s">
        <v>17</v>
      </c>
      <c r="E739" t="s">
        <v>18</v>
      </c>
      <c r="F739" t="s">
        <v>59</v>
      </c>
      <c r="G739" s="1">
        <v>45959</v>
      </c>
      <c r="H739" s="1">
        <v>45966</v>
      </c>
      <c r="I739">
        <v>7</v>
      </c>
      <c r="J739">
        <v>59773</v>
      </c>
    </row>
    <row r="740" spans="1:10" x14ac:dyDescent="0.3">
      <c r="A740" t="s">
        <v>917</v>
      </c>
      <c r="B740" t="s">
        <v>72</v>
      </c>
      <c r="C740">
        <v>68</v>
      </c>
      <c r="D740" t="s">
        <v>12</v>
      </c>
      <c r="E740" t="s">
        <v>22</v>
      </c>
      <c r="F740" t="s">
        <v>19</v>
      </c>
      <c r="G740" s="1">
        <v>45866</v>
      </c>
      <c r="H740" s="1">
        <v>45873</v>
      </c>
      <c r="I740">
        <v>7</v>
      </c>
      <c r="J740">
        <v>62559</v>
      </c>
    </row>
    <row r="741" spans="1:10" x14ac:dyDescent="0.3">
      <c r="A741" t="s">
        <v>918</v>
      </c>
      <c r="B741" t="s">
        <v>475</v>
      </c>
      <c r="C741">
        <v>26</v>
      </c>
      <c r="D741" t="s">
        <v>12</v>
      </c>
      <c r="E741" t="s">
        <v>45</v>
      </c>
      <c r="F741" t="s">
        <v>14</v>
      </c>
      <c r="G741" s="1">
        <v>45957</v>
      </c>
      <c r="H741" s="1">
        <v>45961</v>
      </c>
      <c r="I741">
        <v>4</v>
      </c>
      <c r="J741">
        <v>36428</v>
      </c>
    </row>
    <row r="742" spans="1:10" x14ac:dyDescent="0.3">
      <c r="A742" t="s">
        <v>919</v>
      </c>
      <c r="B742" t="s">
        <v>690</v>
      </c>
      <c r="C742">
        <v>40</v>
      </c>
      <c r="D742" t="s">
        <v>17</v>
      </c>
      <c r="E742" t="s">
        <v>45</v>
      </c>
      <c r="F742" t="s">
        <v>27</v>
      </c>
      <c r="G742" s="1">
        <v>45915</v>
      </c>
      <c r="H742" s="1">
        <v>45922</v>
      </c>
      <c r="I742">
        <v>7</v>
      </c>
      <c r="J742">
        <v>66675</v>
      </c>
    </row>
    <row r="743" spans="1:10" x14ac:dyDescent="0.3">
      <c r="A743" t="s">
        <v>920</v>
      </c>
      <c r="B743" t="s">
        <v>464</v>
      </c>
      <c r="C743">
        <v>71</v>
      </c>
      <c r="D743" t="s">
        <v>17</v>
      </c>
      <c r="E743" t="s">
        <v>48</v>
      </c>
      <c r="F743" t="s">
        <v>27</v>
      </c>
      <c r="G743" s="1">
        <v>45929</v>
      </c>
      <c r="H743" s="1">
        <v>45940</v>
      </c>
      <c r="I743">
        <v>11</v>
      </c>
      <c r="J743">
        <v>115588</v>
      </c>
    </row>
    <row r="744" spans="1:10" x14ac:dyDescent="0.3">
      <c r="A744" t="s">
        <v>921</v>
      </c>
      <c r="B744" t="s">
        <v>98</v>
      </c>
      <c r="C744">
        <v>76</v>
      </c>
      <c r="D744" t="s">
        <v>12</v>
      </c>
      <c r="E744" t="s">
        <v>18</v>
      </c>
      <c r="F744" t="s">
        <v>19</v>
      </c>
      <c r="G744" s="1">
        <v>45991</v>
      </c>
      <c r="H744" s="1">
        <v>45995</v>
      </c>
      <c r="I744">
        <v>4</v>
      </c>
      <c r="J744">
        <v>19060</v>
      </c>
    </row>
    <row r="745" spans="1:10" x14ac:dyDescent="0.3">
      <c r="A745" t="s">
        <v>922</v>
      </c>
      <c r="B745" t="s">
        <v>86</v>
      </c>
      <c r="C745">
        <v>9</v>
      </c>
      <c r="D745" t="s">
        <v>17</v>
      </c>
      <c r="E745" t="s">
        <v>22</v>
      </c>
      <c r="F745" t="s">
        <v>42</v>
      </c>
      <c r="G745" s="1">
        <v>45971</v>
      </c>
      <c r="H745" s="1">
        <v>45980</v>
      </c>
      <c r="I745">
        <v>9</v>
      </c>
      <c r="J745">
        <v>41598</v>
      </c>
    </row>
    <row r="746" spans="1:10" x14ac:dyDescent="0.3">
      <c r="A746" t="s">
        <v>923</v>
      </c>
      <c r="B746" t="s">
        <v>68</v>
      </c>
      <c r="C746">
        <v>16</v>
      </c>
      <c r="D746" t="s">
        <v>12</v>
      </c>
      <c r="E746" t="s">
        <v>22</v>
      </c>
      <c r="F746" t="s">
        <v>19</v>
      </c>
      <c r="G746" s="1">
        <v>45691</v>
      </c>
      <c r="H746" s="1">
        <v>45692</v>
      </c>
      <c r="I746">
        <v>1</v>
      </c>
      <c r="J746">
        <v>11211</v>
      </c>
    </row>
    <row r="747" spans="1:10" x14ac:dyDescent="0.3">
      <c r="A747" t="s">
        <v>924</v>
      </c>
      <c r="B747" t="s">
        <v>107</v>
      </c>
      <c r="C747">
        <v>28</v>
      </c>
      <c r="D747" t="s">
        <v>12</v>
      </c>
      <c r="E747" t="s">
        <v>45</v>
      </c>
      <c r="F747" t="s">
        <v>42</v>
      </c>
      <c r="G747" s="1">
        <v>45788</v>
      </c>
      <c r="H747" s="1">
        <v>45791</v>
      </c>
      <c r="I747">
        <v>3</v>
      </c>
      <c r="J747">
        <v>32892</v>
      </c>
    </row>
    <row r="748" spans="1:10" x14ac:dyDescent="0.3">
      <c r="A748" t="s">
        <v>925</v>
      </c>
      <c r="B748" t="s">
        <v>428</v>
      </c>
      <c r="C748">
        <v>56</v>
      </c>
      <c r="D748" t="s">
        <v>17</v>
      </c>
      <c r="E748" t="s">
        <v>102</v>
      </c>
      <c r="F748" t="s">
        <v>27</v>
      </c>
      <c r="G748" s="1">
        <v>45979</v>
      </c>
      <c r="H748" s="1">
        <v>45987</v>
      </c>
      <c r="I748">
        <v>8</v>
      </c>
      <c r="J748">
        <v>63712</v>
      </c>
    </row>
    <row r="749" spans="1:10" x14ac:dyDescent="0.3">
      <c r="A749" t="s">
        <v>926</v>
      </c>
      <c r="B749" t="s">
        <v>283</v>
      </c>
      <c r="C749">
        <v>13</v>
      </c>
      <c r="D749" t="s">
        <v>12</v>
      </c>
      <c r="E749" t="s">
        <v>13</v>
      </c>
      <c r="F749" t="s">
        <v>42</v>
      </c>
      <c r="G749" s="1">
        <v>45982</v>
      </c>
      <c r="H749" s="1">
        <v>45994</v>
      </c>
      <c r="I749">
        <v>12</v>
      </c>
      <c r="J749">
        <v>75924</v>
      </c>
    </row>
    <row r="750" spans="1:10" x14ac:dyDescent="0.3">
      <c r="A750" t="s">
        <v>927</v>
      </c>
      <c r="B750" t="s">
        <v>220</v>
      </c>
      <c r="C750">
        <v>46</v>
      </c>
      <c r="D750" t="s">
        <v>12</v>
      </c>
      <c r="E750" t="s">
        <v>48</v>
      </c>
      <c r="F750" t="s">
        <v>27</v>
      </c>
      <c r="G750" s="1">
        <v>46010</v>
      </c>
      <c r="H750" s="1">
        <v>46014</v>
      </c>
      <c r="I750">
        <v>4</v>
      </c>
      <c r="J750">
        <v>19328</v>
      </c>
    </row>
    <row r="751" spans="1:10" x14ac:dyDescent="0.3">
      <c r="A751" t="s">
        <v>928</v>
      </c>
      <c r="B751" t="s">
        <v>256</v>
      </c>
      <c r="C751">
        <v>53</v>
      </c>
      <c r="D751" t="s">
        <v>17</v>
      </c>
      <c r="E751" t="s">
        <v>18</v>
      </c>
      <c r="F751" t="s">
        <v>19</v>
      </c>
      <c r="G751" s="1">
        <v>45664</v>
      </c>
      <c r="H751" s="1">
        <v>45675</v>
      </c>
      <c r="I751">
        <v>11</v>
      </c>
      <c r="J751">
        <v>86922</v>
      </c>
    </row>
    <row r="752" spans="1:10" x14ac:dyDescent="0.3">
      <c r="A752" t="s">
        <v>929</v>
      </c>
      <c r="B752" t="s">
        <v>325</v>
      </c>
      <c r="C752">
        <v>70</v>
      </c>
      <c r="D752" t="s">
        <v>12</v>
      </c>
      <c r="E752" t="s">
        <v>39</v>
      </c>
      <c r="F752" t="s">
        <v>23</v>
      </c>
      <c r="G752" s="1">
        <v>45844</v>
      </c>
      <c r="H752" s="1">
        <v>45846</v>
      </c>
      <c r="I752">
        <v>2</v>
      </c>
      <c r="J752">
        <v>11636</v>
      </c>
    </row>
    <row r="753" spans="1:10" x14ac:dyDescent="0.3">
      <c r="A753" t="s">
        <v>930</v>
      </c>
      <c r="B753" t="s">
        <v>256</v>
      </c>
      <c r="C753">
        <v>70</v>
      </c>
      <c r="D753" t="s">
        <v>17</v>
      </c>
      <c r="E753" t="s">
        <v>39</v>
      </c>
      <c r="F753" t="s">
        <v>27</v>
      </c>
      <c r="G753" s="1">
        <v>45945</v>
      </c>
      <c r="H753" s="1">
        <v>45951</v>
      </c>
      <c r="I753">
        <v>6</v>
      </c>
      <c r="J753">
        <v>63996</v>
      </c>
    </row>
    <row r="754" spans="1:10" x14ac:dyDescent="0.3">
      <c r="A754" t="s">
        <v>931</v>
      </c>
      <c r="B754" t="s">
        <v>160</v>
      </c>
      <c r="C754">
        <v>48</v>
      </c>
      <c r="D754" t="s">
        <v>17</v>
      </c>
      <c r="E754" t="s">
        <v>33</v>
      </c>
      <c r="F754" t="s">
        <v>23</v>
      </c>
      <c r="G754" s="1">
        <v>45750</v>
      </c>
      <c r="H754" s="1">
        <v>45751</v>
      </c>
      <c r="I754">
        <v>1</v>
      </c>
      <c r="J754">
        <v>8631</v>
      </c>
    </row>
    <row r="755" spans="1:10" x14ac:dyDescent="0.3">
      <c r="A755" t="s">
        <v>932</v>
      </c>
      <c r="B755" t="s">
        <v>330</v>
      </c>
      <c r="C755">
        <v>73</v>
      </c>
      <c r="D755" t="s">
        <v>17</v>
      </c>
      <c r="E755" t="s">
        <v>33</v>
      </c>
      <c r="F755" t="s">
        <v>59</v>
      </c>
      <c r="G755" s="1">
        <v>45885</v>
      </c>
      <c r="H755" s="1">
        <v>45891</v>
      </c>
      <c r="I755">
        <v>6</v>
      </c>
      <c r="J755">
        <v>71094</v>
      </c>
    </row>
    <row r="756" spans="1:10" x14ac:dyDescent="0.3">
      <c r="A756" t="s">
        <v>933</v>
      </c>
      <c r="B756" t="s">
        <v>390</v>
      </c>
      <c r="C756">
        <v>42</v>
      </c>
      <c r="D756" t="s">
        <v>12</v>
      </c>
      <c r="E756" t="s">
        <v>30</v>
      </c>
      <c r="F756" t="s">
        <v>27</v>
      </c>
      <c r="G756" s="1">
        <v>45862</v>
      </c>
      <c r="H756" s="1">
        <v>45872</v>
      </c>
      <c r="I756">
        <v>10</v>
      </c>
      <c r="J756">
        <v>91350</v>
      </c>
    </row>
    <row r="757" spans="1:10" x14ac:dyDescent="0.3">
      <c r="A757" t="s">
        <v>934</v>
      </c>
      <c r="B757" t="s">
        <v>419</v>
      </c>
      <c r="C757">
        <v>59</v>
      </c>
      <c r="D757" t="s">
        <v>12</v>
      </c>
      <c r="E757" t="s">
        <v>18</v>
      </c>
      <c r="F757" t="s">
        <v>34</v>
      </c>
      <c r="G757" s="1">
        <v>45852</v>
      </c>
      <c r="H757" s="1">
        <v>45867</v>
      </c>
      <c r="I757">
        <v>15</v>
      </c>
      <c r="J757">
        <v>172845</v>
      </c>
    </row>
    <row r="758" spans="1:10" x14ac:dyDescent="0.3">
      <c r="A758" t="s">
        <v>935</v>
      </c>
      <c r="B758" t="s">
        <v>164</v>
      </c>
      <c r="C758">
        <v>61</v>
      </c>
      <c r="D758" t="s">
        <v>17</v>
      </c>
      <c r="E758" t="s">
        <v>26</v>
      </c>
      <c r="F758" t="s">
        <v>62</v>
      </c>
      <c r="G758" s="1">
        <v>45758</v>
      </c>
      <c r="H758" s="1">
        <v>45772</v>
      </c>
      <c r="I758">
        <v>14</v>
      </c>
      <c r="J758">
        <v>113442</v>
      </c>
    </row>
    <row r="759" spans="1:10" x14ac:dyDescent="0.3">
      <c r="A759" t="s">
        <v>936</v>
      </c>
      <c r="B759" t="s">
        <v>251</v>
      </c>
      <c r="C759">
        <v>67</v>
      </c>
      <c r="D759" t="s">
        <v>17</v>
      </c>
      <c r="E759" t="s">
        <v>45</v>
      </c>
      <c r="F759" t="s">
        <v>62</v>
      </c>
      <c r="G759" s="1">
        <v>45801</v>
      </c>
      <c r="H759" s="1">
        <v>45807</v>
      </c>
      <c r="I759">
        <v>6</v>
      </c>
      <c r="J759">
        <v>68658</v>
      </c>
    </row>
    <row r="760" spans="1:10" x14ac:dyDescent="0.3">
      <c r="A760" t="s">
        <v>937</v>
      </c>
      <c r="B760" t="s">
        <v>464</v>
      </c>
      <c r="C760">
        <v>57</v>
      </c>
      <c r="D760" t="s">
        <v>12</v>
      </c>
      <c r="E760" t="s">
        <v>18</v>
      </c>
      <c r="F760" t="s">
        <v>34</v>
      </c>
      <c r="G760" s="1">
        <v>45799</v>
      </c>
      <c r="H760" s="1">
        <v>45811</v>
      </c>
      <c r="I760">
        <v>12</v>
      </c>
      <c r="J760">
        <v>129564</v>
      </c>
    </row>
    <row r="761" spans="1:10" x14ac:dyDescent="0.3">
      <c r="A761" t="s">
        <v>938</v>
      </c>
      <c r="B761" t="s">
        <v>273</v>
      </c>
      <c r="C761">
        <v>55</v>
      </c>
      <c r="D761" t="s">
        <v>12</v>
      </c>
      <c r="E761" t="s">
        <v>22</v>
      </c>
      <c r="F761" t="s">
        <v>27</v>
      </c>
      <c r="G761" s="1">
        <v>45766</v>
      </c>
      <c r="H761" s="1">
        <v>45777</v>
      </c>
      <c r="I761">
        <v>11</v>
      </c>
      <c r="J761">
        <v>50919</v>
      </c>
    </row>
    <row r="762" spans="1:10" x14ac:dyDescent="0.3">
      <c r="A762" t="s">
        <v>939</v>
      </c>
      <c r="B762" t="s">
        <v>118</v>
      </c>
      <c r="C762">
        <v>15</v>
      </c>
      <c r="D762" t="s">
        <v>12</v>
      </c>
      <c r="E762" t="s">
        <v>13</v>
      </c>
      <c r="F762" t="s">
        <v>62</v>
      </c>
      <c r="G762" s="1">
        <v>45935</v>
      </c>
      <c r="H762" s="1">
        <v>45937</v>
      </c>
      <c r="I762">
        <v>2</v>
      </c>
      <c r="J762">
        <v>16648</v>
      </c>
    </row>
    <row r="763" spans="1:10" x14ac:dyDescent="0.3">
      <c r="A763" t="s">
        <v>940</v>
      </c>
      <c r="B763" t="s">
        <v>32</v>
      </c>
      <c r="C763">
        <v>26</v>
      </c>
      <c r="D763" t="s">
        <v>12</v>
      </c>
      <c r="E763" t="s">
        <v>26</v>
      </c>
      <c r="F763" t="s">
        <v>27</v>
      </c>
      <c r="G763" s="1">
        <v>45672</v>
      </c>
      <c r="H763" s="1">
        <v>45675</v>
      </c>
      <c r="I763">
        <v>3</v>
      </c>
      <c r="J763">
        <v>20082</v>
      </c>
    </row>
    <row r="764" spans="1:10" x14ac:dyDescent="0.3">
      <c r="A764" t="s">
        <v>941</v>
      </c>
      <c r="B764" t="s">
        <v>16</v>
      </c>
      <c r="C764">
        <v>36</v>
      </c>
      <c r="D764" t="s">
        <v>12</v>
      </c>
      <c r="E764" t="s">
        <v>13</v>
      </c>
      <c r="F764" t="s">
        <v>14</v>
      </c>
      <c r="G764" s="1">
        <v>45988</v>
      </c>
      <c r="H764" s="1">
        <v>45997</v>
      </c>
      <c r="I764">
        <v>9</v>
      </c>
      <c r="J764">
        <v>62343</v>
      </c>
    </row>
    <row r="765" spans="1:10" x14ac:dyDescent="0.3">
      <c r="A765" t="s">
        <v>942</v>
      </c>
      <c r="B765" t="s">
        <v>44</v>
      </c>
      <c r="C765">
        <v>2</v>
      </c>
      <c r="D765" t="s">
        <v>12</v>
      </c>
      <c r="E765" t="s">
        <v>18</v>
      </c>
      <c r="F765" t="s">
        <v>23</v>
      </c>
      <c r="G765" s="1">
        <v>45821</v>
      </c>
      <c r="H765" s="1">
        <v>45836</v>
      </c>
      <c r="I765">
        <v>15</v>
      </c>
      <c r="J765">
        <v>157440</v>
      </c>
    </row>
    <row r="766" spans="1:10" x14ac:dyDescent="0.3">
      <c r="A766" t="s">
        <v>943</v>
      </c>
      <c r="B766" t="s">
        <v>66</v>
      </c>
      <c r="C766">
        <v>43</v>
      </c>
      <c r="D766" t="s">
        <v>12</v>
      </c>
      <c r="E766" t="s">
        <v>22</v>
      </c>
      <c r="F766" t="s">
        <v>27</v>
      </c>
      <c r="G766" s="1">
        <v>45689</v>
      </c>
      <c r="H766" s="1">
        <v>45698</v>
      </c>
      <c r="I766">
        <v>9</v>
      </c>
      <c r="J766">
        <v>99198</v>
      </c>
    </row>
    <row r="767" spans="1:10" x14ac:dyDescent="0.3">
      <c r="A767" t="s">
        <v>944</v>
      </c>
      <c r="B767" t="s">
        <v>29</v>
      </c>
      <c r="C767">
        <v>23</v>
      </c>
      <c r="D767" t="s">
        <v>12</v>
      </c>
      <c r="E767" t="s">
        <v>45</v>
      </c>
      <c r="F767" t="s">
        <v>27</v>
      </c>
      <c r="G767" s="1">
        <v>45989</v>
      </c>
      <c r="H767" s="1">
        <v>45996</v>
      </c>
      <c r="I767">
        <v>7</v>
      </c>
      <c r="J767">
        <v>66528</v>
      </c>
    </row>
    <row r="768" spans="1:10" x14ac:dyDescent="0.3">
      <c r="A768" t="s">
        <v>945</v>
      </c>
      <c r="B768" t="s">
        <v>377</v>
      </c>
      <c r="C768">
        <v>62</v>
      </c>
      <c r="D768" t="s">
        <v>17</v>
      </c>
      <c r="E768" t="s">
        <v>18</v>
      </c>
      <c r="F768" t="s">
        <v>27</v>
      </c>
      <c r="G768" s="1">
        <v>46022</v>
      </c>
      <c r="H768" s="1">
        <v>46037</v>
      </c>
      <c r="I768">
        <v>15</v>
      </c>
      <c r="J768">
        <v>112320</v>
      </c>
    </row>
    <row r="769" spans="1:10" x14ac:dyDescent="0.3">
      <c r="A769" t="s">
        <v>946</v>
      </c>
      <c r="B769" t="s">
        <v>25</v>
      </c>
      <c r="C769">
        <v>30</v>
      </c>
      <c r="D769" t="s">
        <v>17</v>
      </c>
      <c r="E769" t="s">
        <v>45</v>
      </c>
      <c r="F769" t="s">
        <v>59</v>
      </c>
      <c r="G769" s="1">
        <v>45681</v>
      </c>
      <c r="H769" s="1">
        <v>45693</v>
      </c>
      <c r="I769">
        <v>12</v>
      </c>
      <c r="J769">
        <v>76164</v>
      </c>
    </row>
    <row r="770" spans="1:10" x14ac:dyDescent="0.3">
      <c r="A770" t="s">
        <v>947</v>
      </c>
      <c r="B770" t="s">
        <v>130</v>
      </c>
      <c r="C770">
        <v>46</v>
      </c>
      <c r="D770" t="s">
        <v>17</v>
      </c>
      <c r="E770" t="s">
        <v>26</v>
      </c>
      <c r="F770" t="s">
        <v>59</v>
      </c>
      <c r="G770" s="1">
        <v>45948</v>
      </c>
      <c r="H770" s="1">
        <v>45953</v>
      </c>
      <c r="I770">
        <v>5</v>
      </c>
      <c r="J770">
        <v>55100</v>
      </c>
    </row>
    <row r="771" spans="1:10" x14ac:dyDescent="0.3">
      <c r="A771" t="s">
        <v>948</v>
      </c>
      <c r="B771" t="s">
        <v>98</v>
      </c>
      <c r="C771">
        <v>59</v>
      </c>
      <c r="D771" t="s">
        <v>17</v>
      </c>
      <c r="E771" t="s">
        <v>13</v>
      </c>
      <c r="F771" t="s">
        <v>34</v>
      </c>
      <c r="G771" s="1">
        <v>45983</v>
      </c>
      <c r="H771" s="1">
        <v>45986</v>
      </c>
      <c r="I771">
        <v>3</v>
      </c>
      <c r="J771">
        <v>31170</v>
      </c>
    </row>
    <row r="772" spans="1:10" x14ac:dyDescent="0.3">
      <c r="A772" t="s">
        <v>949</v>
      </c>
      <c r="B772" t="s">
        <v>21</v>
      </c>
      <c r="C772">
        <v>5</v>
      </c>
      <c r="D772" t="s">
        <v>17</v>
      </c>
      <c r="E772" t="s">
        <v>39</v>
      </c>
      <c r="F772" t="s">
        <v>62</v>
      </c>
      <c r="G772" s="1">
        <v>45725</v>
      </c>
      <c r="H772" s="1">
        <v>45726</v>
      </c>
      <c r="I772">
        <v>1</v>
      </c>
      <c r="J772">
        <v>11365</v>
      </c>
    </row>
    <row r="773" spans="1:10" x14ac:dyDescent="0.3">
      <c r="A773" t="s">
        <v>950</v>
      </c>
      <c r="B773" t="s">
        <v>199</v>
      </c>
      <c r="C773">
        <v>77</v>
      </c>
      <c r="D773" t="s">
        <v>12</v>
      </c>
      <c r="E773" t="s">
        <v>13</v>
      </c>
      <c r="F773" t="s">
        <v>62</v>
      </c>
      <c r="G773" s="1">
        <v>45721</v>
      </c>
      <c r="H773" s="1">
        <v>45728</v>
      </c>
      <c r="I773">
        <v>7</v>
      </c>
      <c r="J773">
        <v>29302</v>
      </c>
    </row>
    <row r="774" spans="1:10" x14ac:dyDescent="0.3">
      <c r="A774" t="s">
        <v>951</v>
      </c>
      <c r="B774" t="s">
        <v>47</v>
      </c>
      <c r="C774">
        <v>5</v>
      </c>
      <c r="D774" t="s">
        <v>12</v>
      </c>
      <c r="E774" t="s">
        <v>30</v>
      </c>
      <c r="F774" t="s">
        <v>27</v>
      </c>
      <c r="G774" s="1">
        <v>45890</v>
      </c>
      <c r="H774" s="1">
        <v>45900</v>
      </c>
      <c r="I774">
        <v>10</v>
      </c>
      <c r="J774">
        <v>48850</v>
      </c>
    </row>
    <row r="775" spans="1:10" x14ac:dyDescent="0.3">
      <c r="A775" t="s">
        <v>952</v>
      </c>
      <c r="B775" t="s">
        <v>107</v>
      </c>
      <c r="C775">
        <v>30</v>
      </c>
      <c r="D775" t="s">
        <v>12</v>
      </c>
      <c r="E775" t="s">
        <v>18</v>
      </c>
      <c r="F775" t="s">
        <v>59</v>
      </c>
      <c r="G775" s="1">
        <v>45684</v>
      </c>
      <c r="H775" s="1">
        <v>45691</v>
      </c>
      <c r="I775">
        <v>7</v>
      </c>
      <c r="J775">
        <v>77644</v>
      </c>
    </row>
    <row r="776" spans="1:10" x14ac:dyDescent="0.3">
      <c r="A776" t="s">
        <v>953</v>
      </c>
      <c r="B776" t="s">
        <v>201</v>
      </c>
      <c r="C776">
        <v>22</v>
      </c>
      <c r="D776" t="s">
        <v>12</v>
      </c>
      <c r="E776" t="s">
        <v>26</v>
      </c>
      <c r="F776" t="s">
        <v>23</v>
      </c>
      <c r="G776" s="1">
        <v>45695</v>
      </c>
      <c r="H776" s="1">
        <v>45706</v>
      </c>
      <c r="I776">
        <v>11</v>
      </c>
      <c r="J776">
        <v>71753</v>
      </c>
    </row>
    <row r="777" spans="1:10" x14ac:dyDescent="0.3">
      <c r="A777" t="s">
        <v>954</v>
      </c>
      <c r="B777" t="s">
        <v>61</v>
      </c>
      <c r="C777">
        <v>3</v>
      </c>
      <c r="D777" t="s">
        <v>17</v>
      </c>
      <c r="E777" t="s">
        <v>48</v>
      </c>
      <c r="F777" t="s">
        <v>27</v>
      </c>
      <c r="G777" s="1">
        <v>45924</v>
      </c>
      <c r="H777" s="1">
        <v>45930</v>
      </c>
      <c r="I777">
        <v>6</v>
      </c>
      <c r="J777">
        <v>31056</v>
      </c>
    </row>
    <row r="778" spans="1:10" x14ac:dyDescent="0.3">
      <c r="A778" t="s">
        <v>955</v>
      </c>
      <c r="B778" t="s">
        <v>36</v>
      </c>
      <c r="C778">
        <v>47</v>
      </c>
      <c r="D778" t="s">
        <v>17</v>
      </c>
      <c r="E778" t="s">
        <v>13</v>
      </c>
      <c r="F778" t="s">
        <v>34</v>
      </c>
      <c r="G778" s="1">
        <v>45663</v>
      </c>
      <c r="H778" s="1">
        <v>45666</v>
      </c>
      <c r="I778">
        <v>3</v>
      </c>
      <c r="J778">
        <v>17550</v>
      </c>
    </row>
    <row r="779" spans="1:10" x14ac:dyDescent="0.3">
      <c r="A779" t="s">
        <v>956</v>
      </c>
      <c r="B779" t="s">
        <v>211</v>
      </c>
      <c r="C779">
        <v>14</v>
      </c>
      <c r="D779" t="s">
        <v>12</v>
      </c>
      <c r="E779" t="s">
        <v>26</v>
      </c>
      <c r="F779" t="s">
        <v>27</v>
      </c>
      <c r="G779" s="1">
        <v>45817</v>
      </c>
      <c r="H779" s="1">
        <v>45821</v>
      </c>
      <c r="I779">
        <v>4</v>
      </c>
      <c r="J779">
        <v>43180</v>
      </c>
    </row>
    <row r="780" spans="1:10" x14ac:dyDescent="0.3">
      <c r="A780" t="s">
        <v>957</v>
      </c>
      <c r="B780" t="s">
        <v>550</v>
      </c>
      <c r="C780">
        <v>59</v>
      </c>
      <c r="D780" t="s">
        <v>12</v>
      </c>
      <c r="E780" t="s">
        <v>13</v>
      </c>
      <c r="F780" t="s">
        <v>59</v>
      </c>
      <c r="G780" s="1">
        <v>45755</v>
      </c>
      <c r="H780" s="1">
        <v>45759</v>
      </c>
      <c r="I780">
        <v>4</v>
      </c>
      <c r="J780">
        <v>25212</v>
      </c>
    </row>
    <row r="781" spans="1:10" x14ac:dyDescent="0.3">
      <c r="A781" t="s">
        <v>958</v>
      </c>
      <c r="B781" t="s">
        <v>82</v>
      </c>
      <c r="C781">
        <v>16</v>
      </c>
      <c r="D781" t="s">
        <v>17</v>
      </c>
      <c r="E781" t="s">
        <v>45</v>
      </c>
      <c r="F781" t="s">
        <v>34</v>
      </c>
      <c r="G781" s="1">
        <v>45938</v>
      </c>
      <c r="H781" s="1">
        <v>45951</v>
      </c>
      <c r="I781">
        <v>13</v>
      </c>
      <c r="J781">
        <v>150943</v>
      </c>
    </row>
    <row r="782" spans="1:10" x14ac:dyDescent="0.3">
      <c r="A782" t="s">
        <v>959</v>
      </c>
      <c r="B782" t="s">
        <v>89</v>
      </c>
      <c r="C782">
        <v>18</v>
      </c>
      <c r="D782" t="s">
        <v>12</v>
      </c>
      <c r="E782" t="s">
        <v>13</v>
      </c>
      <c r="F782" t="s">
        <v>34</v>
      </c>
      <c r="G782" s="1">
        <v>45896</v>
      </c>
      <c r="H782" s="1">
        <v>45903</v>
      </c>
      <c r="I782">
        <v>7</v>
      </c>
      <c r="J782">
        <v>54180</v>
      </c>
    </row>
    <row r="783" spans="1:10" x14ac:dyDescent="0.3">
      <c r="A783" t="s">
        <v>960</v>
      </c>
      <c r="B783" t="s">
        <v>426</v>
      </c>
      <c r="C783">
        <v>45</v>
      </c>
      <c r="D783" t="s">
        <v>12</v>
      </c>
      <c r="E783" t="s">
        <v>30</v>
      </c>
      <c r="F783" t="s">
        <v>27</v>
      </c>
      <c r="G783" s="1">
        <v>46002</v>
      </c>
      <c r="H783" s="1">
        <v>46016</v>
      </c>
      <c r="I783">
        <v>14</v>
      </c>
      <c r="J783">
        <v>60494</v>
      </c>
    </row>
    <row r="784" spans="1:10" x14ac:dyDescent="0.3">
      <c r="A784" t="s">
        <v>961</v>
      </c>
      <c r="B784" t="s">
        <v>371</v>
      </c>
      <c r="C784">
        <v>41</v>
      </c>
      <c r="D784" t="s">
        <v>12</v>
      </c>
      <c r="E784" t="s">
        <v>13</v>
      </c>
      <c r="F784" t="s">
        <v>27</v>
      </c>
      <c r="G784" s="1">
        <v>45828</v>
      </c>
      <c r="H784" s="1">
        <v>45841</v>
      </c>
      <c r="I784">
        <v>13</v>
      </c>
      <c r="J784">
        <v>67041</v>
      </c>
    </row>
    <row r="785" spans="1:10" x14ac:dyDescent="0.3">
      <c r="A785" t="s">
        <v>962</v>
      </c>
      <c r="B785" t="s">
        <v>25</v>
      </c>
      <c r="C785">
        <v>24</v>
      </c>
      <c r="D785" t="s">
        <v>17</v>
      </c>
      <c r="E785" t="s">
        <v>30</v>
      </c>
      <c r="F785" t="s">
        <v>42</v>
      </c>
      <c r="G785" s="1">
        <v>46013</v>
      </c>
      <c r="H785" s="1">
        <v>46018</v>
      </c>
      <c r="I785">
        <v>5</v>
      </c>
      <c r="J785">
        <v>43265</v>
      </c>
    </row>
    <row r="786" spans="1:10" x14ac:dyDescent="0.3">
      <c r="A786" t="s">
        <v>963</v>
      </c>
      <c r="B786" t="s">
        <v>308</v>
      </c>
      <c r="C786">
        <v>35</v>
      </c>
      <c r="D786" t="s">
        <v>17</v>
      </c>
      <c r="E786" t="s">
        <v>13</v>
      </c>
      <c r="F786" t="s">
        <v>62</v>
      </c>
      <c r="G786" s="1">
        <v>45870</v>
      </c>
      <c r="H786" s="1">
        <v>45874</v>
      </c>
      <c r="I786">
        <v>4</v>
      </c>
      <c r="J786">
        <v>46228</v>
      </c>
    </row>
    <row r="787" spans="1:10" x14ac:dyDescent="0.3">
      <c r="A787" t="s">
        <v>964</v>
      </c>
      <c r="B787" t="s">
        <v>273</v>
      </c>
      <c r="C787">
        <v>83</v>
      </c>
      <c r="D787" t="s">
        <v>17</v>
      </c>
      <c r="E787" t="s">
        <v>26</v>
      </c>
      <c r="F787" t="s">
        <v>42</v>
      </c>
      <c r="G787" s="1">
        <v>45825</v>
      </c>
      <c r="H787" s="1">
        <v>45833</v>
      </c>
      <c r="I787">
        <v>8</v>
      </c>
      <c r="J787">
        <v>94344</v>
      </c>
    </row>
    <row r="788" spans="1:10" x14ac:dyDescent="0.3">
      <c r="A788" t="s">
        <v>965</v>
      </c>
      <c r="B788" t="s">
        <v>142</v>
      </c>
      <c r="C788">
        <v>58</v>
      </c>
      <c r="D788" t="s">
        <v>17</v>
      </c>
      <c r="E788" t="s">
        <v>13</v>
      </c>
      <c r="F788" t="s">
        <v>62</v>
      </c>
      <c r="G788" s="1">
        <v>46001</v>
      </c>
      <c r="H788" s="1">
        <v>46006</v>
      </c>
      <c r="I788">
        <v>5</v>
      </c>
      <c r="J788">
        <v>31880</v>
      </c>
    </row>
    <row r="789" spans="1:10" x14ac:dyDescent="0.3">
      <c r="A789" t="s">
        <v>966</v>
      </c>
      <c r="B789" t="s">
        <v>196</v>
      </c>
      <c r="C789">
        <v>47</v>
      </c>
      <c r="D789" t="s">
        <v>12</v>
      </c>
      <c r="E789" t="s">
        <v>48</v>
      </c>
      <c r="F789" t="s">
        <v>59</v>
      </c>
      <c r="G789" s="1">
        <v>46002</v>
      </c>
      <c r="H789" s="1">
        <v>46010</v>
      </c>
      <c r="I789">
        <v>8</v>
      </c>
      <c r="J789">
        <v>62712</v>
      </c>
    </row>
    <row r="790" spans="1:10" x14ac:dyDescent="0.3">
      <c r="A790" t="s">
        <v>967</v>
      </c>
      <c r="B790" t="s">
        <v>158</v>
      </c>
      <c r="C790">
        <v>20</v>
      </c>
      <c r="D790" t="s">
        <v>12</v>
      </c>
      <c r="E790" t="s">
        <v>39</v>
      </c>
      <c r="F790" t="s">
        <v>59</v>
      </c>
      <c r="G790" s="1">
        <v>45731</v>
      </c>
      <c r="H790" s="1">
        <v>45745</v>
      </c>
      <c r="I790">
        <v>14</v>
      </c>
      <c r="J790">
        <v>58562</v>
      </c>
    </row>
    <row r="791" spans="1:10" x14ac:dyDescent="0.3">
      <c r="A791" t="s">
        <v>968</v>
      </c>
      <c r="B791" t="s">
        <v>137</v>
      </c>
      <c r="C791">
        <v>46</v>
      </c>
      <c r="D791" t="s">
        <v>17</v>
      </c>
      <c r="E791" t="s">
        <v>33</v>
      </c>
      <c r="F791" t="s">
        <v>42</v>
      </c>
      <c r="G791" s="1">
        <v>45998</v>
      </c>
      <c r="H791" s="1">
        <v>46003</v>
      </c>
      <c r="I791">
        <v>5</v>
      </c>
      <c r="J791">
        <v>49595</v>
      </c>
    </row>
    <row r="792" spans="1:10" x14ac:dyDescent="0.3">
      <c r="A792" t="s">
        <v>969</v>
      </c>
      <c r="B792" t="s">
        <v>11</v>
      </c>
      <c r="C792">
        <v>33</v>
      </c>
      <c r="D792" t="s">
        <v>12</v>
      </c>
      <c r="E792" t="s">
        <v>22</v>
      </c>
      <c r="F792" t="s">
        <v>59</v>
      </c>
      <c r="G792" s="1">
        <v>45686</v>
      </c>
      <c r="H792" s="1">
        <v>45697</v>
      </c>
      <c r="I792">
        <v>11</v>
      </c>
      <c r="J792">
        <v>44484</v>
      </c>
    </row>
    <row r="793" spans="1:10" x14ac:dyDescent="0.3">
      <c r="A793" t="s">
        <v>970</v>
      </c>
      <c r="B793" t="s">
        <v>464</v>
      </c>
      <c r="C793">
        <v>1</v>
      </c>
      <c r="D793" t="s">
        <v>12</v>
      </c>
      <c r="E793" t="s">
        <v>102</v>
      </c>
      <c r="F793" t="s">
        <v>59</v>
      </c>
      <c r="G793" s="1">
        <v>45842</v>
      </c>
      <c r="H793" s="1">
        <v>45848</v>
      </c>
      <c r="I793">
        <v>6</v>
      </c>
      <c r="J793">
        <v>44532</v>
      </c>
    </row>
    <row r="794" spans="1:10" x14ac:dyDescent="0.3">
      <c r="A794" t="s">
        <v>971</v>
      </c>
      <c r="B794" t="s">
        <v>112</v>
      </c>
      <c r="C794">
        <v>6</v>
      </c>
      <c r="D794" t="s">
        <v>12</v>
      </c>
      <c r="E794" t="s">
        <v>18</v>
      </c>
      <c r="F794" t="s">
        <v>62</v>
      </c>
      <c r="G794" s="1">
        <v>46013</v>
      </c>
      <c r="H794" s="1">
        <v>46014</v>
      </c>
      <c r="I794">
        <v>1</v>
      </c>
      <c r="J794">
        <v>5316</v>
      </c>
    </row>
    <row r="795" spans="1:10" x14ac:dyDescent="0.3">
      <c r="A795" t="s">
        <v>972</v>
      </c>
      <c r="B795" t="s">
        <v>345</v>
      </c>
      <c r="C795">
        <v>15</v>
      </c>
      <c r="D795" t="s">
        <v>12</v>
      </c>
      <c r="E795" t="s">
        <v>26</v>
      </c>
      <c r="F795" t="s">
        <v>27</v>
      </c>
      <c r="G795" s="1">
        <v>45891</v>
      </c>
      <c r="H795" s="1">
        <v>45895</v>
      </c>
      <c r="I795">
        <v>4</v>
      </c>
      <c r="J795">
        <v>37256</v>
      </c>
    </row>
    <row r="796" spans="1:10" x14ac:dyDescent="0.3">
      <c r="A796" t="s">
        <v>973</v>
      </c>
      <c r="B796" t="s">
        <v>127</v>
      </c>
      <c r="C796">
        <v>51</v>
      </c>
      <c r="D796" t="s">
        <v>17</v>
      </c>
      <c r="E796" t="s">
        <v>102</v>
      </c>
      <c r="F796" t="s">
        <v>34</v>
      </c>
      <c r="G796" s="1">
        <v>45933</v>
      </c>
      <c r="H796" s="1">
        <v>45939</v>
      </c>
      <c r="I796">
        <v>6</v>
      </c>
      <c r="J796">
        <v>65058</v>
      </c>
    </row>
    <row r="797" spans="1:10" x14ac:dyDescent="0.3">
      <c r="A797" t="s">
        <v>974</v>
      </c>
      <c r="B797" t="s">
        <v>38</v>
      </c>
      <c r="C797">
        <v>26</v>
      </c>
      <c r="D797" t="s">
        <v>17</v>
      </c>
      <c r="E797" t="s">
        <v>13</v>
      </c>
      <c r="F797" t="s">
        <v>34</v>
      </c>
      <c r="G797" s="1">
        <v>45758</v>
      </c>
      <c r="H797" s="1">
        <v>45765</v>
      </c>
      <c r="I797">
        <v>7</v>
      </c>
      <c r="J797">
        <v>39480</v>
      </c>
    </row>
    <row r="798" spans="1:10" x14ac:dyDescent="0.3">
      <c r="A798" t="s">
        <v>975</v>
      </c>
      <c r="B798" t="s">
        <v>294</v>
      </c>
      <c r="C798">
        <v>49</v>
      </c>
      <c r="D798" t="s">
        <v>12</v>
      </c>
      <c r="E798" t="s">
        <v>102</v>
      </c>
      <c r="F798" t="s">
        <v>19</v>
      </c>
      <c r="G798" s="1">
        <v>45934</v>
      </c>
      <c r="H798" s="1">
        <v>45946</v>
      </c>
      <c r="I798">
        <v>12</v>
      </c>
      <c r="J798">
        <v>63372</v>
      </c>
    </row>
    <row r="799" spans="1:10" x14ac:dyDescent="0.3">
      <c r="A799" t="s">
        <v>976</v>
      </c>
      <c r="B799" t="s">
        <v>325</v>
      </c>
      <c r="C799">
        <v>88</v>
      </c>
      <c r="D799" t="s">
        <v>12</v>
      </c>
      <c r="E799" t="s">
        <v>102</v>
      </c>
      <c r="F799" t="s">
        <v>23</v>
      </c>
      <c r="G799" s="1">
        <v>45887</v>
      </c>
      <c r="H799" s="1">
        <v>45893</v>
      </c>
      <c r="I799">
        <v>6</v>
      </c>
      <c r="J799">
        <v>35850</v>
      </c>
    </row>
    <row r="800" spans="1:10" x14ac:dyDescent="0.3">
      <c r="A800" t="s">
        <v>977</v>
      </c>
      <c r="B800" t="s">
        <v>72</v>
      </c>
      <c r="C800">
        <v>90</v>
      </c>
      <c r="D800" t="s">
        <v>12</v>
      </c>
      <c r="E800" t="s">
        <v>45</v>
      </c>
      <c r="F800" t="s">
        <v>23</v>
      </c>
      <c r="G800" s="1">
        <v>45797</v>
      </c>
      <c r="H800" s="1">
        <v>45798</v>
      </c>
      <c r="I800">
        <v>1</v>
      </c>
      <c r="J800">
        <v>6887</v>
      </c>
    </row>
    <row r="801" spans="1:10" x14ac:dyDescent="0.3">
      <c r="A801" t="s">
        <v>978</v>
      </c>
      <c r="B801" t="s">
        <v>241</v>
      </c>
      <c r="C801">
        <v>35</v>
      </c>
      <c r="D801" t="s">
        <v>12</v>
      </c>
      <c r="E801" t="s">
        <v>48</v>
      </c>
      <c r="F801" t="s">
        <v>62</v>
      </c>
      <c r="G801" s="1">
        <v>45825</v>
      </c>
      <c r="H801" s="1">
        <v>45836</v>
      </c>
      <c r="I801">
        <v>11</v>
      </c>
      <c r="J801">
        <v>59686</v>
      </c>
    </row>
    <row r="802" spans="1:10" x14ac:dyDescent="0.3">
      <c r="A802" t="s">
        <v>979</v>
      </c>
      <c r="B802" t="s">
        <v>38</v>
      </c>
      <c r="C802">
        <v>72</v>
      </c>
      <c r="D802" t="s">
        <v>12</v>
      </c>
      <c r="E802" t="s">
        <v>33</v>
      </c>
      <c r="F802" t="s">
        <v>23</v>
      </c>
      <c r="G802" s="1">
        <v>46021</v>
      </c>
      <c r="H802" s="1">
        <v>46032</v>
      </c>
      <c r="I802">
        <v>11</v>
      </c>
      <c r="J802">
        <v>112112</v>
      </c>
    </row>
    <row r="803" spans="1:10" x14ac:dyDescent="0.3">
      <c r="A803" t="s">
        <v>980</v>
      </c>
      <c r="B803" t="s">
        <v>900</v>
      </c>
      <c r="C803">
        <v>67</v>
      </c>
      <c r="D803" t="s">
        <v>12</v>
      </c>
      <c r="E803" t="s">
        <v>13</v>
      </c>
      <c r="F803" t="s">
        <v>62</v>
      </c>
      <c r="G803" s="1">
        <v>45692</v>
      </c>
      <c r="H803" s="1">
        <v>45694</v>
      </c>
      <c r="I803">
        <v>2</v>
      </c>
      <c r="J803">
        <v>18978</v>
      </c>
    </row>
    <row r="804" spans="1:10" x14ac:dyDescent="0.3">
      <c r="A804" t="s">
        <v>981</v>
      </c>
      <c r="B804" t="s">
        <v>467</v>
      </c>
      <c r="C804">
        <v>78</v>
      </c>
      <c r="D804" t="s">
        <v>12</v>
      </c>
      <c r="E804" t="s">
        <v>26</v>
      </c>
      <c r="F804" t="s">
        <v>14</v>
      </c>
      <c r="G804" s="1">
        <v>45850</v>
      </c>
      <c r="H804" s="1">
        <v>45860</v>
      </c>
      <c r="I804">
        <v>10</v>
      </c>
      <c r="J804">
        <v>111170</v>
      </c>
    </row>
    <row r="805" spans="1:10" x14ac:dyDescent="0.3">
      <c r="A805" t="s">
        <v>982</v>
      </c>
      <c r="B805" t="s">
        <v>116</v>
      </c>
      <c r="C805">
        <v>67</v>
      </c>
      <c r="D805" t="s">
        <v>17</v>
      </c>
      <c r="E805" t="s">
        <v>39</v>
      </c>
      <c r="F805" t="s">
        <v>23</v>
      </c>
      <c r="G805" s="1">
        <v>45875</v>
      </c>
      <c r="H805" s="1">
        <v>45887</v>
      </c>
      <c r="I805">
        <v>12</v>
      </c>
      <c r="J805">
        <v>98232</v>
      </c>
    </row>
    <row r="806" spans="1:10" x14ac:dyDescent="0.3">
      <c r="A806" t="s">
        <v>983</v>
      </c>
      <c r="B806" t="s">
        <v>379</v>
      </c>
      <c r="C806">
        <v>25</v>
      </c>
      <c r="D806" t="s">
        <v>12</v>
      </c>
      <c r="E806" t="s">
        <v>18</v>
      </c>
      <c r="F806" t="s">
        <v>19</v>
      </c>
      <c r="G806" s="1">
        <v>45941</v>
      </c>
      <c r="H806" s="1">
        <v>45954</v>
      </c>
      <c r="I806">
        <v>13</v>
      </c>
      <c r="J806">
        <v>144612</v>
      </c>
    </row>
    <row r="807" spans="1:10" x14ac:dyDescent="0.3">
      <c r="A807" t="s">
        <v>984</v>
      </c>
      <c r="B807" t="s">
        <v>36</v>
      </c>
      <c r="C807">
        <v>17</v>
      </c>
      <c r="D807" t="s">
        <v>17</v>
      </c>
      <c r="E807" t="s">
        <v>26</v>
      </c>
      <c r="F807" t="s">
        <v>59</v>
      </c>
      <c r="G807" s="1">
        <v>45684</v>
      </c>
      <c r="H807" s="1">
        <v>45686</v>
      </c>
      <c r="I807">
        <v>2</v>
      </c>
      <c r="J807">
        <v>23010</v>
      </c>
    </row>
    <row r="808" spans="1:10" x14ac:dyDescent="0.3">
      <c r="A808" t="s">
        <v>985</v>
      </c>
      <c r="B808" t="s">
        <v>426</v>
      </c>
      <c r="C808">
        <v>19</v>
      </c>
      <c r="D808" t="s">
        <v>17</v>
      </c>
      <c r="E808" t="s">
        <v>33</v>
      </c>
      <c r="F808" t="s">
        <v>62</v>
      </c>
      <c r="G808" s="1">
        <v>45876</v>
      </c>
      <c r="H808" s="1">
        <v>45878</v>
      </c>
      <c r="I808">
        <v>2</v>
      </c>
      <c r="J808">
        <v>19128</v>
      </c>
    </row>
    <row r="809" spans="1:10" x14ac:dyDescent="0.3">
      <c r="A809" t="s">
        <v>986</v>
      </c>
      <c r="B809" t="s">
        <v>68</v>
      </c>
      <c r="C809">
        <v>4</v>
      </c>
      <c r="D809" t="s">
        <v>12</v>
      </c>
      <c r="E809" t="s">
        <v>30</v>
      </c>
      <c r="F809" t="s">
        <v>14</v>
      </c>
      <c r="G809" s="1">
        <v>45807</v>
      </c>
      <c r="H809" s="1">
        <v>45822</v>
      </c>
      <c r="I809">
        <v>15</v>
      </c>
      <c r="J809">
        <v>122370</v>
      </c>
    </row>
    <row r="810" spans="1:10" x14ac:dyDescent="0.3">
      <c r="A810" t="s">
        <v>987</v>
      </c>
      <c r="B810" t="s">
        <v>602</v>
      </c>
      <c r="C810">
        <v>64</v>
      </c>
      <c r="D810" t="s">
        <v>12</v>
      </c>
      <c r="E810" t="s">
        <v>18</v>
      </c>
      <c r="F810" t="s">
        <v>42</v>
      </c>
      <c r="G810" s="1">
        <v>45742</v>
      </c>
      <c r="H810" s="1">
        <v>45746</v>
      </c>
      <c r="I810">
        <v>4</v>
      </c>
      <c r="J810">
        <v>40596</v>
      </c>
    </row>
    <row r="811" spans="1:10" x14ac:dyDescent="0.3">
      <c r="A811" t="s">
        <v>988</v>
      </c>
      <c r="B811" t="s">
        <v>187</v>
      </c>
      <c r="C811">
        <v>40</v>
      </c>
      <c r="D811" t="s">
        <v>17</v>
      </c>
      <c r="E811" t="s">
        <v>22</v>
      </c>
      <c r="F811" t="s">
        <v>27</v>
      </c>
      <c r="G811" s="1">
        <v>45964</v>
      </c>
      <c r="H811" s="1">
        <v>45967</v>
      </c>
      <c r="I811">
        <v>3</v>
      </c>
      <c r="J811">
        <v>33441</v>
      </c>
    </row>
    <row r="812" spans="1:10" x14ac:dyDescent="0.3">
      <c r="A812" t="s">
        <v>989</v>
      </c>
      <c r="B812" t="s">
        <v>394</v>
      </c>
      <c r="C812">
        <v>76</v>
      </c>
      <c r="D812" t="s">
        <v>12</v>
      </c>
      <c r="E812" t="s">
        <v>26</v>
      </c>
      <c r="F812" t="s">
        <v>62</v>
      </c>
      <c r="G812" s="1">
        <v>45758</v>
      </c>
      <c r="H812" s="1">
        <v>45762</v>
      </c>
      <c r="I812">
        <v>4</v>
      </c>
      <c r="J812">
        <v>40644</v>
      </c>
    </row>
    <row r="813" spans="1:10" x14ac:dyDescent="0.3">
      <c r="A813" t="s">
        <v>990</v>
      </c>
      <c r="B813" t="s">
        <v>112</v>
      </c>
      <c r="C813">
        <v>3</v>
      </c>
      <c r="D813" t="s">
        <v>12</v>
      </c>
      <c r="E813" t="s">
        <v>30</v>
      </c>
      <c r="F813" t="s">
        <v>62</v>
      </c>
      <c r="G813" s="1">
        <v>45857</v>
      </c>
      <c r="H813" s="1">
        <v>45864</v>
      </c>
      <c r="I813">
        <v>7</v>
      </c>
      <c r="J813">
        <v>32305</v>
      </c>
    </row>
    <row r="814" spans="1:10" x14ac:dyDescent="0.3">
      <c r="A814" t="s">
        <v>991</v>
      </c>
      <c r="B814" t="s">
        <v>38</v>
      </c>
      <c r="C814">
        <v>43</v>
      </c>
      <c r="D814" t="s">
        <v>12</v>
      </c>
      <c r="E814" t="s">
        <v>102</v>
      </c>
      <c r="F814" t="s">
        <v>59</v>
      </c>
      <c r="G814" s="1">
        <v>45750</v>
      </c>
      <c r="H814" s="1">
        <v>45759</v>
      </c>
      <c r="I814">
        <v>9</v>
      </c>
      <c r="J814">
        <v>104328</v>
      </c>
    </row>
    <row r="815" spans="1:10" x14ac:dyDescent="0.3">
      <c r="A815" t="s">
        <v>992</v>
      </c>
      <c r="B815" t="s">
        <v>68</v>
      </c>
      <c r="C815">
        <v>19</v>
      </c>
      <c r="D815" t="s">
        <v>17</v>
      </c>
      <c r="E815" t="s">
        <v>26</v>
      </c>
      <c r="F815" t="s">
        <v>23</v>
      </c>
      <c r="G815" s="1">
        <v>45698</v>
      </c>
      <c r="H815" s="1">
        <v>45705</v>
      </c>
      <c r="I815">
        <v>7</v>
      </c>
      <c r="J815">
        <v>55062</v>
      </c>
    </row>
    <row r="816" spans="1:10" x14ac:dyDescent="0.3">
      <c r="A816" t="s">
        <v>993</v>
      </c>
      <c r="B816" t="s">
        <v>132</v>
      </c>
      <c r="C816">
        <v>50</v>
      </c>
      <c r="D816" t="s">
        <v>17</v>
      </c>
      <c r="E816" t="s">
        <v>22</v>
      </c>
      <c r="F816" t="s">
        <v>27</v>
      </c>
      <c r="G816" s="1">
        <v>45990</v>
      </c>
      <c r="H816" s="1">
        <v>46003</v>
      </c>
      <c r="I816">
        <v>13</v>
      </c>
      <c r="J816">
        <v>62569</v>
      </c>
    </row>
    <row r="817" spans="1:10" x14ac:dyDescent="0.3">
      <c r="A817" t="s">
        <v>994</v>
      </c>
      <c r="B817" t="s">
        <v>58</v>
      </c>
      <c r="C817">
        <v>53</v>
      </c>
      <c r="D817" t="s">
        <v>17</v>
      </c>
      <c r="E817" t="s">
        <v>26</v>
      </c>
      <c r="F817" t="s">
        <v>42</v>
      </c>
      <c r="G817" s="1">
        <v>45676</v>
      </c>
      <c r="H817" s="1">
        <v>45688</v>
      </c>
      <c r="I817">
        <v>12</v>
      </c>
      <c r="J817">
        <v>116772</v>
      </c>
    </row>
    <row r="818" spans="1:10" x14ac:dyDescent="0.3">
      <c r="A818" t="s">
        <v>995</v>
      </c>
      <c r="B818" t="s">
        <v>366</v>
      </c>
      <c r="C818">
        <v>39</v>
      </c>
      <c r="D818" t="s">
        <v>12</v>
      </c>
      <c r="E818" t="s">
        <v>13</v>
      </c>
      <c r="F818" t="s">
        <v>27</v>
      </c>
      <c r="G818" s="1">
        <v>45906</v>
      </c>
      <c r="H818" s="1">
        <v>45911</v>
      </c>
      <c r="I818">
        <v>5</v>
      </c>
      <c r="J818">
        <v>26745</v>
      </c>
    </row>
    <row r="819" spans="1:10" x14ac:dyDescent="0.3">
      <c r="A819" t="s">
        <v>996</v>
      </c>
      <c r="B819" t="s">
        <v>130</v>
      </c>
      <c r="C819">
        <v>20</v>
      </c>
      <c r="D819" t="s">
        <v>12</v>
      </c>
      <c r="E819" t="s">
        <v>13</v>
      </c>
      <c r="F819" t="s">
        <v>27</v>
      </c>
      <c r="G819" s="1">
        <v>45709</v>
      </c>
      <c r="H819" s="1">
        <v>45716</v>
      </c>
      <c r="I819">
        <v>7</v>
      </c>
      <c r="J819">
        <v>38738</v>
      </c>
    </row>
    <row r="820" spans="1:10" x14ac:dyDescent="0.3">
      <c r="A820" t="s">
        <v>997</v>
      </c>
      <c r="B820" t="s">
        <v>312</v>
      </c>
      <c r="C820">
        <v>86</v>
      </c>
      <c r="D820" t="s">
        <v>17</v>
      </c>
      <c r="E820" t="s">
        <v>33</v>
      </c>
      <c r="F820" t="s">
        <v>14</v>
      </c>
      <c r="G820" s="1">
        <v>45923</v>
      </c>
      <c r="H820" s="1">
        <v>45924</v>
      </c>
      <c r="I820">
        <v>1</v>
      </c>
      <c r="J820">
        <v>4917</v>
      </c>
    </row>
    <row r="821" spans="1:10" x14ac:dyDescent="0.3">
      <c r="A821" t="s">
        <v>998</v>
      </c>
      <c r="B821" t="s">
        <v>72</v>
      </c>
      <c r="C821">
        <v>33</v>
      </c>
      <c r="D821" t="s">
        <v>12</v>
      </c>
      <c r="E821" t="s">
        <v>33</v>
      </c>
      <c r="F821" t="s">
        <v>34</v>
      </c>
      <c r="G821" s="1">
        <v>45990</v>
      </c>
      <c r="H821" s="1">
        <v>46005</v>
      </c>
      <c r="I821">
        <v>15</v>
      </c>
      <c r="J821">
        <v>86550</v>
      </c>
    </row>
    <row r="822" spans="1:10" x14ac:dyDescent="0.3">
      <c r="A822" t="s">
        <v>999</v>
      </c>
      <c r="B822" t="s">
        <v>550</v>
      </c>
      <c r="C822">
        <v>78</v>
      </c>
      <c r="D822" t="s">
        <v>17</v>
      </c>
      <c r="E822" t="s">
        <v>18</v>
      </c>
      <c r="F822" t="s">
        <v>14</v>
      </c>
      <c r="G822" s="1">
        <v>45700</v>
      </c>
      <c r="H822" s="1">
        <v>45710</v>
      </c>
      <c r="I822">
        <v>10</v>
      </c>
      <c r="J822">
        <v>40790</v>
      </c>
    </row>
    <row r="823" spans="1:10" x14ac:dyDescent="0.3">
      <c r="A823" t="s">
        <v>1000</v>
      </c>
      <c r="B823" t="s">
        <v>171</v>
      </c>
      <c r="C823">
        <v>5</v>
      </c>
      <c r="D823" t="s">
        <v>17</v>
      </c>
      <c r="E823" t="s">
        <v>39</v>
      </c>
      <c r="F823" t="s">
        <v>59</v>
      </c>
      <c r="G823" s="1">
        <v>45909</v>
      </c>
      <c r="H823" s="1">
        <v>45914</v>
      </c>
      <c r="I823">
        <v>5</v>
      </c>
      <c r="J823">
        <v>36245</v>
      </c>
    </row>
    <row r="824" spans="1:10" x14ac:dyDescent="0.3">
      <c r="A824" t="s">
        <v>1001</v>
      </c>
      <c r="B824" t="s">
        <v>334</v>
      </c>
      <c r="C824">
        <v>2</v>
      </c>
      <c r="D824" t="s">
        <v>12</v>
      </c>
      <c r="E824" t="s">
        <v>30</v>
      </c>
      <c r="F824" t="s">
        <v>27</v>
      </c>
      <c r="G824" s="1">
        <v>45707</v>
      </c>
      <c r="H824" s="1">
        <v>45715</v>
      </c>
      <c r="I824">
        <v>8</v>
      </c>
      <c r="J824">
        <v>82880</v>
      </c>
    </row>
    <row r="825" spans="1:10" x14ac:dyDescent="0.3">
      <c r="A825" t="s">
        <v>1002</v>
      </c>
      <c r="B825" t="s">
        <v>89</v>
      </c>
      <c r="C825">
        <v>84</v>
      </c>
      <c r="D825" t="s">
        <v>17</v>
      </c>
      <c r="E825" t="s">
        <v>39</v>
      </c>
      <c r="F825" t="s">
        <v>59</v>
      </c>
      <c r="G825" s="1">
        <v>45761</v>
      </c>
      <c r="H825" s="1">
        <v>45775</v>
      </c>
      <c r="I825">
        <v>14</v>
      </c>
      <c r="J825">
        <v>103502</v>
      </c>
    </row>
    <row r="826" spans="1:10" x14ac:dyDescent="0.3">
      <c r="A826" t="s">
        <v>1003</v>
      </c>
      <c r="B826" t="s">
        <v>217</v>
      </c>
      <c r="C826">
        <v>27</v>
      </c>
      <c r="D826" t="s">
        <v>17</v>
      </c>
      <c r="E826" t="s">
        <v>18</v>
      </c>
      <c r="F826" t="s">
        <v>14</v>
      </c>
      <c r="G826" s="1">
        <v>45807</v>
      </c>
      <c r="H826" s="1">
        <v>45822</v>
      </c>
      <c r="I826">
        <v>15</v>
      </c>
      <c r="J826">
        <v>105075</v>
      </c>
    </row>
    <row r="827" spans="1:10" x14ac:dyDescent="0.3">
      <c r="A827" t="s">
        <v>1004</v>
      </c>
      <c r="B827" t="s">
        <v>209</v>
      </c>
      <c r="C827">
        <v>11</v>
      </c>
      <c r="D827" t="s">
        <v>17</v>
      </c>
      <c r="E827" t="s">
        <v>22</v>
      </c>
      <c r="F827" t="s">
        <v>14</v>
      </c>
      <c r="G827" s="1">
        <v>45986</v>
      </c>
      <c r="H827" s="1">
        <v>46001</v>
      </c>
      <c r="I827">
        <v>15</v>
      </c>
      <c r="J827">
        <v>142875</v>
      </c>
    </row>
    <row r="828" spans="1:10" x14ac:dyDescent="0.3">
      <c r="A828" t="s">
        <v>1005</v>
      </c>
      <c r="B828" t="s">
        <v>435</v>
      </c>
      <c r="C828">
        <v>3</v>
      </c>
      <c r="D828" t="s">
        <v>17</v>
      </c>
      <c r="E828" t="s">
        <v>33</v>
      </c>
      <c r="F828" t="s">
        <v>42</v>
      </c>
      <c r="G828" s="1">
        <v>45940</v>
      </c>
      <c r="H828" s="1">
        <v>45951</v>
      </c>
      <c r="I828">
        <v>11</v>
      </c>
      <c r="J828">
        <v>51854</v>
      </c>
    </row>
    <row r="829" spans="1:10" x14ac:dyDescent="0.3">
      <c r="A829" t="s">
        <v>1006</v>
      </c>
      <c r="B829" t="s">
        <v>209</v>
      </c>
      <c r="C829">
        <v>80</v>
      </c>
      <c r="D829" t="s">
        <v>17</v>
      </c>
      <c r="E829" t="s">
        <v>18</v>
      </c>
      <c r="F829" t="s">
        <v>19</v>
      </c>
      <c r="G829" s="1">
        <v>45731</v>
      </c>
      <c r="H829" s="1">
        <v>45740</v>
      </c>
      <c r="I829">
        <v>9</v>
      </c>
      <c r="J829">
        <v>101448</v>
      </c>
    </row>
    <row r="830" spans="1:10" x14ac:dyDescent="0.3">
      <c r="A830" t="s">
        <v>1007</v>
      </c>
      <c r="B830" t="s">
        <v>38</v>
      </c>
      <c r="C830">
        <v>50</v>
      </c>
      <c r="D830" t="s">
        <v>12</v>
      </c>
      <c r="E830" t="s">
        <v>102</v>
      </c>
      <c r="F830" t="s">
        <v>19</v>
      </c>
      <c r="G830" s="1">
        <v>45784</v>
      </c>
      <c r="H830" s="1">
        <v>45793</v>
      </c>
      <c r="I830">
        <v>9</v>
      </c>
      <c r="J830">
        <v>89802</v>
      </c>
    </row>
    <row r="831" spans="1:10" x14ac:dyDescent="0.3">
      <c r="A831" t="s">
        <v>1008</v>
      </c>
      <c r="B831" t="s">
        <v>176</v>
      </c>
      <c r="C831">
        <v>13</v>
      </c>
      <c r="D831" t="s">
        <v>17</v>
      </c>
      <c r="E831" t="s">
        <v>13</v>
      </c>
      <c r="F831" t="s">
        <v>23</v>
      </c>
      <c r="G831" s="1">
        <v>45951</v>
      </c>
      <c r="H831" s="1">
        <v>45966</v>
      </c>
      <c r="I831">
        <v>15</v>
      </c>
      <c r="J831">
        <v>123870</v>
      </c>
    </row>
    <row r="832" spans="1:10" x14ac:dyDescent="0.3">
      <c r="A832" t="s">
        <v>1009</v>
      </c>
      <c r="B832" t="s">
        <v>334</v>
      </c>
      <c r="C832">
        <v>88</v>
      </c>
      <c r="D832" t="s">
        <v>12</v>
      </c>
      <c r="E832" t="s">
        <v>26</v>
      </c>
      <c r="F832" t="s">
        <v>42</v>
      </c>
      <c r="G832" s="1">
        <v>45739</v>
      </c>
      <c r="H832" s="1">
        <v>45742</v>
      </c>
      <c r="I832">
        <v>3</v>
      </c>
      <c r="J832">
        <v>26916</v>
      </c>
    </row>
    <row r="833" spans="1:10" x14ac:dyDescent="0.3">
      <c r="A833" t="s">
        <v>1010</v>
      </c>
      <c r="B833" t="s">
        <v>471</v>
      </c>
      <c r="C833">
        <v>16</v>
      </c>
      <c r="D833" t="s">
        <v>17</v>
      </c>
      <c r="E833" t="s">
        <v>48</v>
      </c>
      <c r="F833" t="s">
        <v>34</v>
      </c>
      <c r="G833" s="1">
        <v>46016</v>
      </c>
      <c r="H833" s="1">
        <v>46023</v>
      </c>
      <c r="I833">
        <v>7</v>
      </c>
      <c r="J833">
        <v>40978</v>
      </c>
    </row>
    <row r="834" spans="1:10" x14ac:dyDescent="0.3">
      <c r="A834" t="s">
        <v>1011</v>
      </c>
      <c r="B834" t="s">
        <v>89</v>
      </c>
      <c r="C834">
        <v>15</v>
      </c>
      <c r="D834" t="s">
        <v>17</v>
      </c>
      <c r="E834" t="s">
        <v>39</v>
      </c>
      <c r="F834" t="s">
        <v>27</v>
      </c>
      <c r="G834" s="1">
        <v>45722</v>
      </c>
      <c r="H834" s="1">
        <v>45725</v>
      </c>
      <c r="I834">
        <v>3</v>
      </c>
      <c r="J834">
        <v>15237</v>
      </c>
    </row>
    <row r="835" spans="1:10" x14ac:dyDescent="0.3">
      <c r="A835" t="s">
        <v>1012</v>
      </c>
      <c r="B835" t="s">
        <v>579</v>
      </c>
      <c r="C835">
        <v>9</v>
      </c>
      <c r="D835" t="s">
        <v>12</v>
      </c>
      <c r="E835" t="s">
        <v>33</v>
      </c>
      <c r="F835" t="s">
        <v>34</v>
      </c>
      <c r="G835" s="1">
        <v>45812</v>
      </c>
      <c r="H835" s="1">
        <v>45814</v>
      </c>
      <c r="I835">
        <v>2</v>
      </c>
      <c r="J835">
        <v>17788</v>
      </c>
    </row>
    <row r="836" spans="1:10" x14ac:dyDescent="0.3">
      <c r="A836" t="s">
        <v>1013</v>
      </c>
      <c r="B836" t="s">
        <v>345</v>
      </c>
      <c r="C836">
        <v>65</v>
      </c>
      <c r="D836" t="s">
        <v>17</v>
      </c>
      <c r="E836" t="s">
        <v>22</v>
      </c>
      <c r="F836" t="s">
        <v>23</v>
      </c>
      <c r="G836" s="1">
        <v>45892</v>
      </c>
      <c r="H836" s="1">
        <v>45901</v>
      </c>
      <c r="I836">
        <v>9</v>
      </c>
      <c r="J836">
        <v>97650</v>
      </c>
    </row>
    <row r="837" spans="1:10" x14ac:dyDescent="0.3">
      <c r="A837" t="s">
        <v>1014</v>
      </c>
      <c r="B837" t="s">
        <v>288</v>
      </c>
      <c r="C837">
        <v>58</v>
      </c>
      <c r="D837" t="s">
        <v>17</v>
      </c>
      <c r="E837" t="s">
        <v>22</v>
      </c>
      <c r="F837" t="s">
        <v>42</v>
      </c>
      <c r="G837" s="1">
        <v>45755</v>
      </c>
      <c r="H837" s="1">
        <v>45769</v>
      </c>
      <c r="I837">
        <v>14</v>
      </c>
      <c r="J837">
        <v>79352</v>
      </c>
    </row>
    <row r="838" spans="1:10" x14ac:dyDescent="0.3">
      <c r="A838" t="s">
        <v>1015</v>
      </c>
      <c r="B838" t="s">
        <v>467</v>
      </c>
      <c r="C838">
        <v>82</v>
      </c>
      <c r="D838" t="s">
        <v>17</v>
      </c>
      <c r="E838" t="s">
        <v>22</v>
      </c>
      <c r="F838" t="s">
        <v>62</v>
      </c>
      <c r="G838" s="1">
        <v>45751</v>
      </c>
      <c r="H838" s="1">
        <v>45759</v>
      </c>
      <c r="I838">
        <v>8</v>
      </c>
      <c r="J838">
        <v>46616</v>
      </c>
    </row>
    <row r="839" spans="1:10" x14ac:dyDescent="0.3">
      <c r="A839" t="s">
        <v>1016</v>
      </c>
      <c r="B839" t="s">
        <v>91</v>
      </c>
      <c r="C839">
        <v>68</v>
      </c>
      <c r="D839" t="s">
        <v>17</v>
      </c>
      <c r="E839" t="s">
        <v>45</v>
      </c>
      <c r="F839" t="s">
        <v>19</v>
      </c>
      <c r="G839" s="1">
        <v>45983</v>
      </c>
      <c r="H839" s="1">
        <v>45995</v>
      </c>
      <c r="I839">
        <v>12</v>
      </c>
      <c r="J839">
        <v>86508</v>
      </c>
    </row>
    <row r="840" spans="1:10" x14ac:dyDescent="0.3">
      <c r="A840" t="s">
        <v>1017</v>
      </c>
      <c r="B840" t="s">
        <v>109</v>
      </c>
      <c r="C840">
        <v>22</v>
      </c>
      <c r="D840" t="s">
        <v>12</v>
      </c>
      <c r="E840" t="s">
        <v>22</v>
      </c>
      <c r="F840" t="s">
        <v>19</v>
      </c>
      <c r="G840" s="1">
        <v>45735</v>
      </c>
      <c r="H840" s="1">
        <v>45750</v>
      </c>
      <c r="I840">
        <v>15</v>
      </c>
      <c r="J840">
        <v>80880</v>
      </c>
    </row>
    <row r="841" spans="1:10" x14ac:dyDescent="0.3">
      <c r="A841" t="s">
        <v>1018</v>
      </c>
      <c r="B841" t="s">
        <v>297</v>
      </c>
      <c r="C841">
        <v>76</v>
      </c>
      <c r="D841" t="s">
        <v>17</v>
      </c>
      <c r="E841" t="s">
        <v>26</v>
      </c>
      <c r="F841" t="s">
        <v>59</v>
      </c>
      <c r="G841" s="1">
        <v>45731</v>
      </c>
      <c r="H841" s="1">
        <v>45740</v>
      </c>
      <c r="I841">
        <v>9</v>
      </c>
      <c r="J841">
        <v>57294</v>
      </c>
    </row>
    <row r="842" spans="1:10" x14ac:dyDescent="0.3">
      <c r="A842" t="s">
        <v>1019</v>
      </c>
      <c r="B842" t="s">
        <v>100</v>
      </c>
      <c r="C842">
        <v>85</v>
      </c>
      <c r="D842" t="s">
        <v>12</v>
      </c>
      <c r="E842" t="s">
        <v>45</v>
      </c>
      <c r="F842" t="s">
        <v>14</v>
      </c>
      <c r="G842" s="1">
        <v>46004</v>
      </c>
      <c r="H842" s="1">
        <v>46005</v>
      </c>
      <c r="I842">
        <v>1</v>
      </c>
      <c r="J842">
        <v>10835</v>
      </c>
    </row>
    <row r="843" spans="1:10" x14ac:dyDescent="0.3">
      <c r="A843" t="s">
        <v>1020</v>
      </c>
      <c r="B843" t="s">
        <v>264</v>
      </c>
      <c r="C843">
        <v>54</v>
      </c>
      <c r="D843" t="s">
        <v>12</v>
      </c>
      <c r="E843" t="s">
        <v>39</v>
      </c>
      <c r="F843" t="s">
        <v>19</v>
      </c>
      <c r="G843" s="1">
        <v>45977</v>
      </c>
      <c r="H843" s="1">
        <v>45981</v>
      </c>
      <c r="I843">
        <v>4</v>
      </c>
      <c r="J843">
        <v>22432</v>
      </c>
    </row>
    <row r="844" spans="1:10" x14ac:dyDescent="0.3">
      <c r="A844" t="s">
        <v>1021</v>
      </c>
      <c r="B844" t="s">
        <v>164</v>
      </c>
      <c r="C844">
        <v>22</v>
      </c>
      <c r="D844" t="s">
        <v>17</v>
      </c>
      <c r="E844" t="s">
        <v>30</v>
      </c>
      <c r="F844" t="s">
        <v>23</v>
      </c>
      <c r="G844" s="1">
        <v>45842</v>
      </c>
      <c r="H844" s="1">
        <v>45850</v>
      </c>
      <c r="I844">
        <v>8</v>
      </c>
      <c r="J844">
        <v>59424</v>
      </c>
    </row>
    <row r="845" spans="1:10" x14ac:dyDescent="0.3">
      <c r="A845" t="s">
        <v>1022</v>
      </c>
      <c r="B845" t="s">
        <v>220</v>
      </c>
      <c r="C845">
        <v>31</v>
      </c>
      <c r="D845" t="s">
        <v>17</v>
      </c>
      <c r="E845" t="s">
        <v>45</v>
      </c>
      <c r="F845" t="s">
        <v>23</v>
      </c>
      <c r="G845" s="1">
        <v>45925</v>
      </c>
      <c r="H845" s="1">
        <v>45933</v>
      </c>
      <c r="I845">
        <v>8</v>
      </c>
      <c r="J845">
        <v>82504</v>
      </c>
    </row>
    <row r="846" spans="1:10" x14ac:dyDescent="0.3">
      <c r="A846" t="s">
        <v>1023</v>
      </c>
      <c r="B846" t="s">
        <v>445</v>
      </c>
      <c r="C846">
        <v>44</v>
      </c>
      <c r="D846" t="s">
        <v>12</v>
      </c>
      <c r="E846" t="s">
        <v>45</v>
      </c>
      <c r="F846" t="s">
        <v>59</v>
      </c>
      <c r="G846" s="1">
        <v>45973</v>
      </c>
      <c r="H846" s="1">
        <v>45975</v>
      </c>
      <c r="I846">
        <v>2</v>
      </c>
      <c r="J846">
        <v>13052</v>
      </c>
    </row>
    <row r="847" spans="1:10" x14ac:dyDescent="0.3">
      <c r="A847" t="s">
        <v>1024</v>
      </c>
      <c r="B847" t="s">
        <v>125</v>
      </c>
      <c r="C847">
        <v>84</v>
      </c>
      <c r="D847" t="s">
        <v>17</v>
      </c>
      <c r="E847" t="s">
        <v>48</v>
      </c>
      <c r="F847" t="s">
        <v>42</v>
      </c>
      <c r="G847" s="1">
        <v>45869</v>
      </c>
      <c r="H847" s="1">
        <v>45877</v>
      </c>
      <c r="I847">
        <v>8</v>
      </c>
      <c r="J847">
        <v>86608</v>
      </c>
    </row>
    <row r="848" spans="1:10" x14ac:dyDescent="0.3">
      <c r="A848" t="s">
        <v>1025</v>
      </c>
      <c r="B848" t="s">
        <v>144</v>
      </c>
      <c r="C848">
        <v>74</v>
      </c>
      <c r="D848" t="s">
        <v>17</v>
      </c>
      <c r="E848" t="s">
        <v>48</v>
      </c>
      <c r="F848" t="s">
        <v>62</v>
      </c>
      <c r="G848" s="1">
        <v>45862</v>
      </c>
      <c r="H848" s="1">
        <v>45876</v>
      </c>
      <c r="I848">
        <v>14</v>
      </c>
      <c r="J848">
        <v>139188</v>
      </c>
    </row>
    <row r="849" spans="1:10" x14ac:dyDescent="0.3">
      <c r="A849" t="s">
        <v>1026</v>
      </c>
      <c r="B849" t="s">
        <v>86</v>
      </c>
      <c r="C849">
        <v>59</v>
      </c>
      <c r="D849" t="s">
        <v>12</v>
      </c>
      <c r="E849" t="s">
        <v>22</v>
      </c>
      <c r="F849" t="s">
        <v>27</v>
      </c>
      <c r="G849" s="1">
        <v>45979</v>
      </c>
      <c r="H849" s="1">
        <v>45990</v>
      </c>
      <c r="I849">
        <v>11</v>
      </c>
      <c r="J849">
        <v>51777</v>
      </c>
    </row>
    <row r="850" spans="1:10" x14ac:dyDescent="0.3">
      <c r="A850" t="s">
        <v>1027</v>
      </c>
      <c r="B850" t="s">
        <v>251</v>
      </c>
      <c r="C850">
        <v>27</v>
      </c>
      <c r="D850" t="s">
        <v>12</v>
      </c>
      <c r="E850" t="s">
        <v>22</v>
      </c>
      <c r="F850" t="s">
        <v>27</v>
      </c>
      <c r="G850" s="1">
        <v>45809</v>
      </c>
      <c r="H850" s="1">
        <v>45816</v>
      </c>
      <c r="I850">
        <v>7</v>
      </c>
      <c r="J850">
        <v>60368</v>
      </c>
    </row>
    <row r="851" spans="1:10" x14ac:dyDescent="0.3">
      <c r="A851" t="s">
        <v>1028</v>
      </c>
      <c r="B851" t="s">
        <v>273</v>
      </c>
      <c r="C851">
        <v>88</v>
      </c>
      <c r="D851" t="s">
        <v>12</v>
      </c>
      <c r="E851" t="s">
        <v>33</v>
      </c>
      <c r="F851" t="s">
        <v>59</v>
      </c>
      <c r="G851" s="1">
        <v>45808</v>
      </c>
      <c r="H851" s="1">
        <v>45820</v>
      </c>
      <c r="I851">
        <v>12</v>
      </c>
      <c r="J851">
        <v>53004</v>
      </c>
    </row>
    <row r="852" spans="1:10" x14ac:dyDescent="0.3">
      <c r="A852" t="s">
        <v>1029</v>
      </c>
      <c r="B852" t="s">
        <v>353</v>
      </c>
      <c r="C852">
        <v>54</v>
      </c>
      <c r="D852" t="s">
        <v>12</v>
      </c>
      <c r="E852" t="s">
        <v>26</v>
      </c>
      <c r="F852" t="s">
        <v>27</v>
      </c>
      <c r="G852" s="1">
        <v>45673</v>
      </c>
      <c r="H852" s="1">
        <v>45675</v>
      </c>
      <c r="I852">
        <v>2</v>
      </c>
      <c r="J852">
        <v>12604</v>
      </c>
    </row>
    <row r="853" spans="1:10" x14ac:dyDescent="0.3">
      <c r="A853" t="s">
        <v>1030</v>
      </c>
      <c r="B853" t="s">
        <v>467</v>
      </c>
      <c r="C853">
        <v>14</v>
      </c>
      <c r="D853" t="s">
        <v>17</v>
      </c>
      <c r="E853" t="s">
        <v>30</v>
      </c>
      <c r="F853" t="s">
        <v>59</v>
      </c>
      <c r="G853" s="1">
        <v>45692</v>
      </c>
      <c r="H853" s="1">
        <v>45702</v>
      </c>
      <c r="I853">
        <v>10</v>
      </c>
      <c r="J853">
        <v>71500</v>
      </c>
    </row>
    <row r="854" spans="1:10" x14ac:dyDescent="0.3">
      <c r="A854" t="s">
        <v>1031</v>
      </c>
      <c r="B854" t="s">
        <v>89</v>
      </c>
      <c r="C854">
        <v>68</v>
      </c>
      <c r="D854" t="s">
        <v>17</v>
      </c>
      <c r="E854" t="s">
        <v>30</v>
      </c>
      <c r="F854" t="s">
        <v>42</v>
      </c>
      <c r="G854" s="1">
        <v>45798</v>
      </c>
      <c r="H854" s="1">
        <v>45804</v>
      </c>
      <c r="I854">
        <v>6</v>
      </c>
      <c r="J854">
        <v>46854</v>
      </c>
    </row>
    <row r="855" spans="1:10" x14ac:dyDescent="0.3">
      <c r="A855" t="s">
        <v>1032</v>
      </c>
      <c r="B855" t="s">
        <v>301</v>
      </c>
      <c r="C855">
        <v>6</v>
      </c>
      <c r="D855" t="s">
        <v>17</v>
      </c>
      <c r="E855" t="s">
        <v>102</v>
      </c>
      <c r="F855" t="s">
        <v>59</v>
      </c>
      <c r="G855" s="1">
        <v>45801</v>
      </c>
      <c r="H855" s="1">
        <v>45805</v>
      </c>
      <c r="I855">
        <v>4</v>
      </c>
      <c r="J855">
        <v>19852</v>
      </c>
    </row>
    <row r="856" spans="1:10" x14ac:dyDescent="0.3">
      <c r="A856" t="s">
        <v>1033</v>
      </c>
      <c r="B856" t="s">
        <v>245</v>
      </c>
      <c r="C856">
        <v>5</v>
      </c>
      <c r="D856" t="s">
        <v>12</v>
      </c>
      <c r="E856" t="s">
        <v>30</v>
      </c>
      <c r="F856" t="s">
        <v>34</v>
      </c>
      <c r="G856" s="1">
        <v>45909</v>
      </c>
      <c r="H856" s="1">
        <v>45917</v>
      </c>
      <c r="I856">
        <v>8</v>
      </c>
      <c r="J856">
        <v>51592</v>
      </c>
    </row>
    <row r="857" spans="1:10" x14ac:dyDescent="0.3">
      <c r="A857" t="s">
        <v>1034</v>
      </c>
      <c r="B857" t="s">
        <v>50</v>
      </c>
      <c r="C857">
        <v>31</v>
      </c>
      <c r="D857" t="s">
        <v>12</v>
      </c>
      <c r="E857" t="s">
        <v>26</v>
      </c>
      <c r="F857" t="s">
        <v>59</v>
      </c>
      <c r="G857" s="1">
        <v>45662</v>
      </c>
      <c r="H857" s="1">
        <v>45671</v>
      </c>
      <c r="I857">
        <v>9</v>
      </c>
      <c r="J857">
        <v>48186</v>
      </c>
    </row>
    <row r="858" spans="1:10" x14ac:dyDescent="0.3">
      <c r="A858" t="s">
        <v>1035</v>
      </c>
      <c r="B858" t="s">
        <v>139</v>
      </c>
      <c r="C858">
        <v>58</v>
      </c>
      <c r="D858" t="s">
        <v>12</v>
      </c>
      <c r="E858" t="s">
        <v>48</v>
      </c>
      <c r="F858" t="s">
        <v>62</v>
      </c>
      <c r="G858" s="1">
        <v>45962</v>
      </c>
      <c r="H858" s="1">
        <v>45965</v>
      </c>
      <c r="I858">
        <v>3</v>
      </c>
      <c r="J858">
        <v>23580</v>
      </c>
    </row>
    <row r="859" spans="1:10" x14ac:dyDescent="0.3">
      <c r="A859" t="s">
        <v>1036</v>
      </c>
      <c r="B859" t="s">
        <v>54</v>
      </c>
      <c r="C859">
        <v>10</v>
      </c>
      <c r="D859" t="s">
        <v>12</v>
      </c>
      <c r="E859" t="s">
        <v>102</v>
      </c>
      <c r="F859" t="s">
        <v>62</v>
      </c>
      <c r="G859" s="1">
        <v>45852</v>
      </c>
      <c r="H859" s="1">
        <v>45854</v>
      </c>
      <c r="I859">
        <v>2</v>
      </c>
      <c r="J859">
        <v>11326</v>
      </c>
    </row>
    <row r="860" spans="1:10" x14ac:dyDescent="0.3">
      <c r="A860" t="s">
        <v>1037</v>
      </c>
      <c r="B860" t="s">
        <v>241</v>
      </c>
      <c r="C860">
        <v>33</v>
      </c>
      <c r="D860" t="s">
        <v>12</v>
      </c>
      <c r="E860" t="s">
        <v>48</v>
      </c>
      <c r="F860" t="s">
        <v>19</v>
      </c>
      <c r="G860" s="1">
        <v>45987</v>
      </c>
      <c r="H860" s="1">
        <v>46000</v>
      </c>
      <c r="I860">
        <v>13</v>
      </c>
      <c r="J860">
        <v>145535</v>
      </c>
    </row>
    <row r="861" spans="1:10" x14ac:dyDescent="0.3">
      <c r="A861" t="s">
        <v>1038</v>
      </c>
      <c r="B861" t="s">
        <v>127</v>
      </c>
      <c r="C861">
        <v>72</v>
      </c>
      <c r="D861" t="s">
        <v>17</v>
      </c>
      <c r="E861" t="s">
        <v>26</v>
      </c>
      <c r="F861" t="s">
        <v>34</v>
      </c>
      <c r="G861" s="1">
        <v>45898</v>
      </c>
      <c r="H861" s="1">
        <v>45903</v>
      </c>
      <c r="I861">
        <v>5</v>
      </c>
      <c r="J861">
        <v>20170</v>
      </c>
    </row>
    <row r="862" spans="1:10" x14ac:dyDescent="0.3">
      <c r="A862" t="s">
        <v>1039</v>
      </c>
      <c r="B862" t="s">
        <v>236</v>
      </c>
      <c r="C862">
        <v>41</v>
      </c>
      <c r="D862" t="s">
        <v>12</v>
      </c>
      <c r="E862" t="s">
        <v>45</v>
      </c>
      <c r="F862" t="s">
        <v>62</v>
      </c>
      <c r="G862" s="1">
        <v>45875</v>
      </c>
      <c r="H862" s="1">
        <v>45881</v>
      </c>
      <c r="I862">
        <v>6</v>
      </c>
      <c r="J862">
        <v>46104</v>
      </c>
    </row>
    <row r="863" spans="1:10" x14ac:dyDescent="0.3">
      <c r="A863" t="s">
        <v>1040</v>
      </c>
      <c r="B863" t="s">
        <v>249</v>
      </c>
      <c r="C863">
        <v>41</v>
      </c>
      <c r="D863" t="s">
        <v>12</v>
      </c>
      <c r="E863" t="s">
        <v>26</v>
      </c>
      <c r="F863" t="s">
        <v>42</v>
      </c>
      <c r="G863" s="1">
        <v>45727</v>
      </c>
      <c r="H863" s="1">
        <v>45736</v>
      </c>
      <c r="I863">
        <v>9</v>
      </c>
      <c r="J863">
        <v>66042</v>
      </c>
    </row>
    <row r="864" spans="1:10" x14ac:dyDescent="0.3">
      <c r="A864" t="s">
        <v>1041</v>
      </c>
      <c r="B864" t="s">
        <v>52</v>
      </c>
      <c r="C864">
        <v>39</v>
      </c>
      <c r="D864" t="s">
        <v>17</v>
      </c>
      <c r="E864" t="s">
        <v>48</v>
      </c>
      <c r="F864" t="s">
        <v>34</v>
      </c>
      <c r="G864" s="1">
        <v>45714</v>
      </c>
      <c r="H864" s="1">
        <v>45721</v>
      </c>
      <c r="I864">
        <v>7</v>
      </c>
      <c r="J864">
        <v>80283</v>
      </c>
    </row>
    <row r="865" spans="1:10" x14ac:dyDescent="0.3">
      <c r="A865" t="s">
        <v>1042</v>
      </c>
      <c r="B865" t="s">
        <v>690</v>
      </c>
      <c r="C865">
        <v>74</v>
      </c>
      <c r="D865" t="s">
        <v>12</v>
      </c>
      <c r="E865" t="s">
        <v>13</v>
      </c>
      <c r="F865" t="s">
        <v>62</v>
      </c>
      <c r="G865" s="1">
        <v>46022</v>
      </c>
      <c r="H865" s="1">
        <v>46025</v>
      </c>
      <c r="I865">
        <v>3</v>
      </c>
      <c r="J865">
        <v>12231</v>
      </c>
    </row>
    <row r="866" spans="1:10" x14ac:dyDescent="0.3">
      <c r="A866" t="s">
        <v>1043</v>
      </c>
      <c r="B866" t="s">
        <v>112</v>
      </c>
      <c r="C866">
        <v>90</v>
      </c>
      <c r="D866" t="s">
        <v>17</v>
      </c>
      <c r="E866" t="s">
        <v>33</v>
      </c>
      <c r="F866" t="s">
        <v>62</v>
      </c>
      <c r="G866" s="1">
        <v>45728</v>
      </c>
      <c r="H866" s="1">
        <v>45742</v>
      </c>
      <c r="I866">
        <v>14</v>
      </c>
      <c r="J866">
        <v>69076</v>
      </c>
    </row>
    <row r="867" spans="1:10" x14ac:dyDescent="0.3">
      <c r="A867" t="s">
        <v>1044</v>
      </c>
      <c r="B867" t="s">
        <v>353</v>
      </c>
      <c r="C867">
        <v>18</v>
      </c>
      <c r="D867" t="s">
        <v>12</v>
      </c>
      <c r="E867" t="s">
        <v>26</v>
      </c>
      <c r="F867" t="s">
        <v>14</v>
      </c>
      <c r="G867" s="1">
        <v>45743</v>
      </c>
      <c r="H867" s="1">
        <v>45751</v>
      </c>
      <c r="I867">
        <v>8</v>
      </c>
      <c r="J867">
        <v>39544</v>
      </c>
    </row>
    <row r="868" spans="1:10" x14ac:dyDescent="0.3">
      <c r="A868" t="s">
        <v>1045</v>
      </c>
      <c r="B868" t="s">
        <v>481</v>
      </c>
      <c r="C868">
        <v>36</v>
      </c>
      <c r="D868" t="s">
        <v>12</v>
      </c>
      <c r="E868" t="s">
        <v>18</v>
      </c>
      <c r="F868" t="s">
        <v>19</v>
      </c>
      <c r="G868" s="1">
        <v>45699</v>
      </c>
      <c r="H868" s="1">
        <v>45702</v>
      </c>
      <c r="I868">
        <v>3</v>
      </c>
      <c r="J868">
        <v>18330</v>
      </c>
    </row>
    <row r="869" spans="1:10" x14ac:dyDescent="0.3">
      <c r="A869" t="s">
        <v>1046</v>
      </c>
      <c r="B869" t="s">
        <v>66</v>
      </c>
      <c r="C869">
        <v>31</v>
      </c>
      <c r="D869" t="s">
        <v>12</v>
      </c>
      <c r="E869" t="s">
        <v>33</v>
      </c>
      <c r="F869" t="s">
        <v>23</v>
      </c>
      <c r="G869" s="1">
        <v>45673</v>
      </c>
      <c r="H869" s="1">
        <v>45686</v>
      </c>
      <c r="I869">
        <v>13</v>
      </c>
      <c r="J869">
        <v>79846</v>
      </c>
    </row>
    <row r="870" spans="1:10" x14ac:dyDescent="0.3">
      <c r="A870" t="s">
        <v>1047</v>
      </c>
      <c r="B870" t="s">
        <v>36</v>
      </c>
      <c r="C870">
        <v>4</v>
      </c>
      <c r="D870" t="s">
        <v>12</v>
      </c>
      <c r="E870" t="s">
        <v>33</v>
      </c>
      <c r="F870" t="s">
        <v>27</v>
      </c>
      <c r="G870" s="1">
        <v>45755</v>
      </c>
      <c r="H870" s="1">
        <v>45758</v>
      </c>
      <c r="I870">
        <v>3</v>
      </c>
      <c r="J870">
        <v>19236</v>
      </c>
    </row>
    <row r="871" spans="1:10" x14ac:dyDescent="0.3">
      <c r="A871" t="s">
        <v>1048</v>
      </c>
      <c r="B871" t="s">
        <v>381</v>
      </c>
      <c r="C871">
        <v>28</v>
      </c>
      <c r="D871" t="s">
        <v>12</v>
      </c>
      <c r="E871" t="s">
        <v>18</v>
      </c>
      <c r="F871" t="s">
        <v>42</v>
      </c>
      <c r="G871" s="1">
        <v>45695</v>
      </c>
      <c r="H871" s="1">
        <v>45705</v>
      </c>
      <c r="I871">
        <v>10</v>
      </c>
      <c r="J871">
        <v>57630</v>
      </c>
    </row>
    <row r="872" spans="1:10" x14ac:dyDescent="0.3">
      <c r="A872" t="s">
        <v>1049</v>
      </c>
      <c r="B872" t="s">
        <v>390</v>
      </c>
      <c r="C872">
        <v>17</v>
      </c>
      <c r="D872" t="s">
        <v>12</v>
      </c>
      <c r="E872" t="s">
        <v>18</v>
      </c>
      <c r="F872" t="s">
        <v>23</v>
      </c>
      <c r="G872" s="1">
        <v>45743</v>
      </c>
      <c r="H872" s="1">
        <v>45755</v>
      </c>
      <c r="I872">
        <v>12</v>
      </c>
      <c r="J872">
        <v>49452</v>
      </c>
    </row>
    <row r="873" spans="1:10" x14ac:dyDescent="0.3">
      <c r="A873" t="s">
        <v>1050</v>
      </c>
      <c r="B873" t="s">
        <v>275</v>
      </c>
      <c r="C873">
        <v>15</v>
      </c>
      <c r="D873" t="s">
        <v>12</v>
      </c>
      <c r="E873" t="s">
        <v>26</v>
      </c>
      <c r="F873" t="s">
        <v>59</v>
      </c>
      <c r="G873" s="1">
        <v>45789</v>
      </c>
      <c r="H873" s="1">
        <v>45794</v>
      </c>
      <c r="I873">
        <v>5</v>
      </c>
      <c r="J873">
        <v>31740</v>
      </c>
    </row>
    <row r="874" spans="1:10" x14ac:dyDescent="0.3">
      <c r="A874" t="s">
        <v>1051</v>
      </c>
      <c r="B874" t="s">
        <v>154</v>
      </c>
      <c r="C874">
        <v>46</v>
      </c>
      <c r="D874" t="s">
        <v>17</v>
      </c>
      <c r="E874" t="s">
        <v>33</v>
      </c>
      <c r="F874" t="s">
        <v>23</v>
      </c>
      <c r="G874" s="1">
        <v>45959</v>
      </c>
      <c r="H874" s="1">
        <v>45971</v>
      </c>
      <c r="I874">
        <v>12</v>
      </c>
      <c r="J874">
        <v>142776</v>
      </c>
    </row>
    <row r="875" spans="1:10" x14ac:dyDescent="0.3">
      <c r="A875" t="s">
        <v>1052</v>
      </c>
      <c r="B875" t="s">
        <v>361</v>
      </c>
      <c r="C875">
        <v>14</v>
      </c>
      <c r="D875" t="s">
        <v>12</v>
      </c>
      <c r="E875" t="s">
        <v>22</v>
      </c>
      <c r="F875" t="s">
        <v>14</v>
      </c>
      <c r="G875" s="1">
        <v>45741</v>
      </c>
      <c r="H875" s="1">
        <v>45745</v>
      </c>
      <c r="I875">
        <v>4</v>
      </c>
      <c r="J875">
        <v>37524</v>
      </c>
    </row>
    <row r="876" spans="1:10" x14ac:dyDescent="0.3">
      <c r="A876" t="s">
        <v>1053</v>
      </c>
      <c r="B876" t="s">
        <v>176</v>
      </c>
      <c r="C876">
        <v>44</v>
      </c>
      <c r="D876" t="s">
        <v>12</v>
      </c>
      <c r="E876" t="s">
        <v>13</v>
      </c>
      <c r="F876" t="s">
        <v>27</v>
      </c>
      <c r="G876" s="1">
        <v>45852</v>
      </c>
      <c r="H876" s="1">
        <v>45864</v>
      </c>
      <c r="I876">
        <v>12</v>
      </c>
      <c r="J876">
        <v>107220</v>
      </c>
    </row>
    <row r="877" spans="1:10" x14ac:dyDescent="0.3">
      <c r="A877" t="s">
        <v>1054</v>
      </c>
      <c r="B877" t="s">
        <v>64</v>
      </c>
      <c r="C877">
        <v>40</v>
      </c>
      <c r="D877" t="s">
        <v>17</v>
      </c>
      <c r="E877" t="s">
        <v>18</v>
      </c>
      <c r="F877" t="s">
        <v>34</v>
      </c>
      <c r="G877" s="1">
        <v>46019</v>
      </c>
      <c r="H877" s="1">
        <v>46028</v>
      </c>
      <c r="I877">
        <v>9</v>
      </c>
      <c r="J877">
        <v>86904</v>
      </c>
    </row>
    <row r="878" spans="1:10" x14ac:dyDescent="0.3">
      <c r="A878" t="s">
        <v>1055</v>
      </c>
      <c r="B878" t="s">
        <v>455</v>
      </c>
      <c r="C878">
        <v>14</v>
      </c>
      <c r="D878" t="s">
        <v>17</v>
      </c>
      <c r="E878" t="s">
        <v>33</v>
      </c>
      <c r="F878" t="s">
        <v>42</v>
      </c>
      <c r="G878" s="1">
        <v>45696</v>
      </c>
      <c r="H878" s="1">
        <v>45702</v>
      </c>
      <c r="I878">
        <v>6</v>
      </c>
      <c r="J878">
        <v>32190</v>
      </c>
    </row>
    <row r="879" spans="1:10" x14ac:dyDescent="0.3">
      <c r="A879" t="s">
        <v>1056</v>
      </c>
      <c r="B879" t="s">
        <v>397</v>
      </c>
      <c r="C879">
        <v>45</v>
      </c>
      <c r="D879" t="s">
        <v>12</v>
      </c>
      <c r="E879" t="s">
        <v>22</v>
      </c>
      <c r="F879" t="s">
        <v>42</v>
      </c>
      <c r="G879" s="1">
        <v>45890</v>
      </c>
      <c r="H879" s="1">
        <v>45893</v>
      </c>
      <c r="I879">
        <v>3</v>
      </c>
      <c r="J879">
        <v>21720</v>
      </c>
    </row>
    <row r="880" spans="1:10" x14ac:dyDescent="0.3">
      <c r="A880" t="s">
        <v>1057</v>
      </c>
      <c r="B880" t="s">
        <v>160</v>
      </c>
      <c r="C880">
        <v>73</v>
      </c>
      <c r="D880" t="s">
        <v>17</v>
      </c>
      <c r="E880" t="s">
        <v>48</v>
      </c>
      <c r="F880" t="s">
        <v>14</v>
      </c>
      <c r="G880" s="1">
        <v>45703</v>
      </c>
      <c r="H880" s="1">
        <v>45708</v>
      </c>
      <c r="I880">
        <v>5</v>
      </c>
      <c r="J880">
        <v>41505</v>
      </c>
    </row>
    <row r="881" spans="1:10" x14ac:dyDescent="0.3">
      <c r="A881" t="s">
        <v>1058</v>
      </c>
      <c r="B881" t="s">
        <v>461</v>
      </c>
      <c r="C881">
        <v>23</v>
      </c>
      <c r="D881" t="s">
        <v>12</v>
      </c>
      <c r="E881" t="s">
        <v>39</v>
      </c>
      <c r="F881" t="s">
        <v>27</v>
      </c>
      <c r="G881" s="1">
        <v>45706</v>
      </c>
      <c r="H881" s="1">
        <v>45707</v>
      </c>
      <c r="I881">
        <v>1</v>
      </c>
      <c r="J881">
        <v>11113</v>
      </c>
    </row>
    <row r="882" spans="1:10" x14ac:dyDescent="0.3">
      <c r="A882" t="s">
        <v>1059</v>
      </c>
      <c r="B882" t="s">
        <v>38</v>
      </c>
      <c r="C882">
        <v>38</v>
      </c>
      <c r="D882" t="s">
        <v>17</v>
      </c>
      <c r="E882" t="s">
        <v>30</v>
      </c>
      <c r="F882" t="s">
        <v>27</v>
      </c>
      <c r="G882" s="1">
        <v>45834</v>
      </c>
      <c r="H882" s="1">
        <v>45845</v>
      </c>
      <c r="I882">
        <v>11</v>
      </c>
      <c r="J882">
        <v>116336</v>
      </c>
    </row>
    <row r="883" spans="1:10" x14ac:dyDescent="0.3">
      <c r="A883" t="s">
        <v>1060</v>
      </c>
      <c r="B883" t="s">
        <v>220</v>
      </c>
      <c r="C883">
        <v>8</v>
      </c>
      <c r="D883" t="s">
        <v>12</v>
      </c>
      <c r="E883" t="s">
        <v>48</v>
      </c>
      <c r="F883" t="s">
        <v>42</v>
      </c>
      <c r="G883" s="1">
        <v>45666</v>
      </c>
      <c r="H883" s="1">
        <v>45670</v>
      </c>
      <c r="I883">
        <v>4</v>
      </c>
      <c r="J883">
        <v>29236</v>
      </c>
    </row>
    <row r="884" spans="1:10" x14ac:dyDescent="0.3">
      <c r="A884" t="s">
        <v>1061</v>
      </c>
      <c r="B884" t="s">
        <v>467</v>
      </c>
      <c r="C884">
        <v>80</v>
      </c>
      <c r="D884" t="s">
        <v>12</v>
      </c>
      <c r="E884" t="s">
        <v>22</v>
      </c>
      <c r="F884" t="s">
        <v>23</v>
      </c>
      <c r="G884" s="1">
        <v>46004</v>
      </c>
      <c r="H884" s="1">
        <v>46011</v>
      </c>
      <c r="I884">
        <v>7</v>
      </c>
      <c r="J884">
        <v>61901</v>
      </c>
    </row>
    <row r="885" spans="1:10" x14ac:dyDescent="0.3">
      <c r="A885" t="s">
        <v>1062</v>
      </c>
      <c r="B885" t="s">
        <v>394</v>
      </c>
      <c r="C885">
        <v>4</v>
      </c>
      <c r="D885" t="s">
        <v>17</v>
      </c>
      <c r="E885" t="s">
        <v>48</v>
      </c>
      <c r="F885" t="s">
        <v>34</v>
      </c>
      <c r="G885" s="1">
        <v>45760</v>
      </c>
      <c r="H885" s="1">
        <v>45771</v>
      </c>
      <c r="I885">
        <v>11</v>
      </c>
      <c r="J885">
        <v>62898</v>
      </c>
    </row>
    <row r="886" spans="1:10" x14ac:dyDescent="0.3">
      <c r="A886" t="s">
        <v>1063</v>
      </c>
      <c r="B886" t="s">
        <v>72</v>
      </c>
      <c r="C886">
        <v>83</v>
      </c>
      <c r="D886" t="s">
        <v>17</v>
      </c>
      <c r="E886" t="s">
        <v>13</v>
      </c>
      <c r="F886" t="s">
        <v>19</v>
      </c>
      <c r="G886" s="1">
        <v>45947</v>
      </c>
      <c r="H886" s="1">
        <v>45961</v>
      </c>
      <c r="I886">
        <v>14</v>
      </c>
      <c r="J886">
        <v>150094</v>
      </c>
    </row>
    <row r="887" spans="1:10" x14ac:dyDescent="0.3">
      <c r="A887" t="s">
        <v>1064</v>
      </c>
      <c r="B887" t="s">
        <v>306</v>
      </c>
      <c r="C887">
        <v>31</v>
      </c>
      <c r="D887" t="s">
        <v>12</v>
      </c>
      <c r="E887" t="s">
        <v>13</v>
      </c>
      <c r="F887" t="s">
        <v>62</v>
      </c>
      <c r="G887" s="1">
        <v>45904</v>
      </c>
      <c r="H887" s="1">
        <v>45911</v>
      </c>
      <c r="I887">
        <v>7</v>
      </c>
      <c r="J887">
        <v>40334</v>
      </c>
    </row>
    <row r="888" spans="1:10" x14ac:dyDescent="0.3">
      <c r="A888" t="s">
        <v>1065</v>
      </c>
      <c r="B888" t="s">
        <v>325</v>
      </c>
      <c r="C888">
        <v>24</v>
      </c>
      <c r="D888" t="s">
        <v>12</v>
      </c>
      <c r="E888" t="s">
        <v>102</v>
      </c>
      <c r="F888" t="s">
        <v>34</v>
      </c>
      <c r="G888" s="1">
        <v>45770</v>
      </c>
      <c r="H888" s="1">
        <v>45779</v>
      </c>
      <c r="I888">
        <v>9</v>
      </c>
      <c r="J888">
        <v>105921</v>
      </c>
    </row>
    <row r="889" spans="1:10" x14ac:dyDescent="0.3">
      <c r="A889" t="s">
        <v>1066</v>
      </c>
      <c r="B889" t="s">
        <v>104</v>
      </c>
      <c r="C889">
        <v>7</v>
      </c>
      <c r="D889" t="s">
        <v>17</v>
      </c>
      <c r="E889" t="s">
        <v>13</v>
      </c>
      <c r="F889" t="s">
        <v>62</v>
      </c>
      <c r="G889" s="1">
        <v>45929</v>
      </c>
      <c r="H889" s="1">
        <v>45941</v>
      </c>
      <c r="I889">
        <v>12</v>
      </c>
      <c r="J889">
        <v>107904</v>
      </c>
    </row>
    <row r="890" spans="1:10" x14ac:dyDescent="0.3">
      <c r="A890" t="s">
        <v>1067</v>
      </c>
      <c r="B890" t="s">
        <v>220</v>
      </c>
      <c r="C890">
        <v>85</v>
      </c>
      <c r="D890" t="s">
        <v>12</v>
      </c>
      <c r="E890" t="s">
        <v>48</v>
      </c>
      <c r="F890" t="s">
        <v>42</v>
      </c>
      <c r="G890" s="1">
        <v>45724</v>
      </c>
      <c r="H890" s="1">
        <v>45739</v>
      </c>
      <c r="I890">
        <v>15</v>
      </c>
      <c r="J890">
        <v>145305</v>
      </c>
    </row>
    <row r="891" spans="1:10" x14ac:dyDescent="0.3">
      <c r="A891" t="s">
        <v>1068</v>
      </c>
      <c r="B891" t="s">
        <v>461</v>
      </c>
      <c r="C891">
        <v>35</v>
      </c>
      <c r="D891" t="s">
        <v>17</v>
      </c>
      <c r="E891" t="s">
        <v>13</v>
      </c>
      <c r="F891" t="s">
        <v>23</v>
      </c>
      <c r="G891" s="1">
        <v>45790</v>
      </c>
      <c r="H891" s="1">
        <v>45795</v>
      </c>
      <c r="I891">
        <v>5</v>
      </c>
      <c r="J891">
        <v>47745</v>
      </c>
    </row>
    <row r="892" spans="1:10" x14ac:dyDescent="0.3">
      <c r="A892" t="s">
        <v>1069</v>
      </c>
      <c r="B892" t="s">
        <v>259</v>
      </c>
      <c r="C892">
        <v>24</v>
      </c>
      <c r="D892" t="s">
        <v>17</v>
      </c>
      <c r="E892" t="s">
        <v>48</v>
      </c>
      <c r="F892" t="s">
        <v>14</v>
      </c>
      <c r="G892" s="1">
        <v>45863</v>
      </c>
      <c r="H892" s="1">
        <v>45872</v>
      </c>
      <c r="I892">
        <v>9</v>
      </c>
      <c r="J892">
        <v>75420</v>
      </c>
    </row>
    <row r="893" spans="1:10" x14ac:dyDescent="0.3">
      <c r="A893" t="s">
        <v>1070</v>
      </c>
      <c r="B893" t="s">
        <v>54</v>
      </c>
      <c r="C893">
        <v>86</v>
      </c>
      <c r="D893" t="s">
        <v>12</v>
      </c>
      <c r="E893" t="s">
        <v>45</v>
      </c>
      <c r="F893" t="s">
        <v>59</v>
      </c>
      <c r="G893" s="1">
        <v>45949</v>
      </c>
      <c r="H893" s="1">
        <v>45954</v>
      </c>
      <c r="I893">
        <v>5</v>
      </c>
      <c r="J893">
        <v>42350</v>
      </c>
    </row>
    <row r="894" spans="1:10" x14ac:dyDescent="0.3">
      <c r="A894" t="s">
        <v>1071</v>
      </c>
      <c r="B894" t="s">
        <v>267</v>
      </c>
      <c r="C894">
        <v>77</v>
      </c>
      <c r="D894" t="s">
        <v>17</v>
      </c>
      <c r="E894" t="s">
        <v>45</v>
      </c>
      <c r="F894" t="s">
        <v>34</v>
      </c>
      <c r="G894" s="1">
        <v>45705</v>
      </c>
      <c r="H894" s="1">
        <v>45712</v>
      </c>
      <c r="I894">
        <v>7</v>
      </c>
      <c r="J894">
        <v>59633</v>
      </c>
    </row>
    <row r="895" spans="1:10" x14ac:dyDescent="0.3">
      <c r="A895" t="s">
        <v>1072</v>
      </c>
      <c r="B895" t="s">
        <v>168</v>
      </c>
      <c r="C895">
        <v>58</v>
      </c>
      <c r="D895" t="s">
        <v>17</v>
      </c>
      <c r="E895" t="s">
        <v>18</v>
      </c>
      <c r="F895" t="s">
        <v>23</v>
      </c>
      <c r="G895" s="1">
        <v>45894</v>
      </c>
      <c r="H895" s="1">
        <v>45898</v>
      </c>
      <c r="I895">
        <v>4</v>
      </c>
      <c r="J895">
        <v>43936</v>
      </c>
    </row>
    <row r="896" spans="1:10" x14ac:dyDescent="0.3">
      <c r="A896" t="s">
        <v>1073</v>
      </c>
      <c r="B896" t="s">
        <v>120</v>
      </c>
      <c r="C896">
        <v>79</v>
      </c>
      <c r="D896" t="s">
        <v>12</v>
      </c>
      <c r="E896" t="s">
        <v>18</v>
      </c>
      <c r="F896" t="s">
        <v>19</v>
      </c>
      <c r="G896" s="1">
        <v>45766</v>
      </c>
      <c r="H896" s="1">
        <v>45777</v>
      </c>
      <c r="I896">
        <v>11</v>
      </c>
      <c r="J896">
        <v>72325</v>
      </c>
    </row>
    <row r="897" spans="1:10" x14ac:dyDescent="0.3">
      <c r="A897" t="s">
        <v>1074</v>
      </c>
      <c r="B897" t="s">
        <v>144</v>
      </c>
      <c r="C897">
        <v>64</v>
      </c>
      <c r="D897" t="s">
        <v>17</v>
      </c>
      <c r="E897" t="s">
        <v>18</v>
      </c>
      <c r="F897" t="s">
        <v>23</v>
      </c>
      <c r="G897" s="1">
        <v>45893</v>
      </c>
      <c r="H897" s="1">
        <v>45902</v>
      </c>
      <c r="I897">
        <v>9</v>
      </c>
      <c r="J897">
        <v>98991</v>
      </c>
    </row>
    <row r="898" spans="1:10" x14ac:dyDescent="0.3">
      <c r="A898" t="s">
        <v>1075</v>
      </c>
      <c r="B898" t="s">
        <v>247</v>
      </c>
      <c r="C898">
        <v>65</v>
      </c>
      <c r="D898" t="s">
        <v>12</v>
      </c>
      <c r="E898" t="s">
        <v>30</v>
      </c>
      <c r="F898" t="s">
        <v>59</v>
      </c>
      <c r="G898" s="1">
        <v>46017</v>
      </c>
      <c r="H898" s="1">
        <v>46021</v>
      </c>
      <c r="I898">
        <v>4</v>
      </c>
      <c r="J898">
        <v>25128</v>
      </c>
    </row>
    <row r="899" spans="1:10" x14ac:dyDescent="0.3">
      <c r="A899" t="s">
        <v>1076</v>
      </c>
      <c r="B899" t="s">
        <v>712</v>
      </c>
      <c r="C899">
        <v>47</v>
      </c>
      <c r="D899" t="s">
        <v>17</v>
      </c>
      <c r="E899" t="s">
        <v>22</v>
      </c>
      <c r="F899" t="s">
        <v>19</v>
      </c>
      <c r="G899" s="1">
        <v>45739</v>
      </c>
      <c r="H899" s="1">
        <v>45744</v>
      </c>
      <c r="I899">
        <v>5</v>
      </c>
      <c r="J899">
        <v>37895</v>
      </c>
    </row>
    <row r="900" spans="1:10" x14ac:dyDescent="0.3">
      <c r="A900" t="s">
        <v>1077</v>
      </c>
      <c r="B900" t="s">
        <v>116</v>
      </c>
      <c r="C900">
        <v>1</v>
      </c>
      <c r="D900" t="s">
        <v>12</v>
      </c>
      <c r="E900" t="s">
        <v>22</v>
      </c>
      <c r="F900" t="s">
        <v>14</v>
      </c>
      <c r="G900" s="1">
        <v>45919</v>
      </c>
      <c r="H900" s="1">
        <v>45932</v>
      </c>
      <c r="I900">
        <v>13</v>
      </c>
      <c r="J900">
        <v>147550</v>
      </c>
    </row>
    <row r="901" spans="1:10" x14ac:dyDescent="0.3">
      <c r="A901" t="s">
        <v>1078</v>
      </c>
      <c r="B901" t="s">
        <v>203</v>
      </c>
      <c r="C901">
        <v>84</v>
      </c>
      <c r="D901" t="s">
        <v>12</v>
      </c>
      <c r="E901" t="s">
        <v>26</v>
      </c>
      <c r="F901" t="s">
        <v>59</v>
      </c>
      <c r="G901" s="1">
        <v>45955</v>
      </c>
      <c r="H901" s="1">
        <v>45965</v>
      </c>
      <c r="I901">
        <v>10</v>
      </c>
      <c r="J901">
        <v>69410</v>
      </c>
    </row>
    <row r="902" spans="1:10" x14ac:dyDescent="0.3">
      <c r="A902" t="s">
        <v>1079</v>
      </c>
      <c r="B902" t="s">
        <v>484</v>
      </c>
      <c r="C902">
        <v>68</v>
      </c>
      <c r="D902" t="s">
        <v>17</v>
      </c>
      <c r="E902" t="s">
        <v>45</v>
      </c>
      <c r="F902" t="s">
        <v>27</v>
      </c>
      <c r="G902" s="1">
        <v>45972</v>
      </c>
      <c r="H902" s="1">
        <v>45983</v>
      </c>
      <c r="I902">
        <v>11</v>
      </c>
      <c r="J902">
        <v>63701</v>
      </c>
    </row>
    <row r="903" spans="1:10" x14ac:dyDescent="0.3">
      <c r="A903" t="s">
        <v>1080</v>
      </c>
      <c r="B903" t="s">
        <v>16</v>
      </c>
      <c r="C903">
        <v>6</v>
      </c>
      <c r="D903" t="s">
        <v>17</v>
      </c>
      <c r="E903" t="s">
        <v>102</v>
      </c>
      <c r="F903" t="s">
        <v>27</v>
      </c>
      <c r="G903" s="1">
        <v>45924</v>
      </c>
      <c r="H903" s="1">
        <v>45929</v>
      </c>
      <c r="I903">
        <v>5</v>
      </c>
      <c r="J903">
        <v>41580</v>
      </c>
    </row>
    <row r="904" spans="1:10" x14ac:dyDescent="0.3">
      <c r="A904" t="s">
        <v>1081</v>
      </c>
      <c r="B904" t="s">
        <v>484</v>
      </c>
      <c r="C904">
        <v>1</v>
      </c>
      <c r="D904" t="s">
        <v>12</v>
      </c>
      <c r="E904" t="s">
        <v>22</v>
      </c>
      <c r="F904" t="s">
        <v>27</v>
      </c>
      <c r="G904" s="1">
        <v>45887</v>
      </c>
      <c r="H904" s="1">
        <v>45896</v>
      </c>
      <c r="I904">
        <v>9</v>
      </c>
      <c r="J904">
        <v>82116</v>
      </c>
    </row>
    <row r="905" spans="1:10" x14ac:dyDescent="0.3">
      <c r="A905" t="s">
        <v>1082</v>
      </c>
      <c r="B905" t="s">
        <v>54</v>
      </c>
      <c r="C905">
        <v>37</v>
      </c>
      <c r="D905" t="s">
        <v>12</v>
      </c>
      <c r="E905" t="s">
        <v>102</v>
      </c>
      <c r="F905" t="s">
        <v>62</v>
      </c>
      <c r="G905" s="1">
        <v>45998</v>
      </c>
      <c r="H905" s="1">
        <v>46010</v>
      </c>
      <c r="I905">
        <v>12</v>
      </c>
      <c r="J905">
        <v>96048</v>
      </c>
    </row>
    <row r="906" spans="1:10" x14ac:dyDescent="0.3">
      <c r="A906" t="s">
        <v>1083</v>
      </c>
      <c r="B906" t="s">
        <v>428</v>
      </c>
      <c r="C906">
        <v>8</v>
      </c>
      <c r="D906" t="s">
        <v>12</v>
      </c>
      <c r="E906" t="s">
        <v>22</v>
      </c>
      <c r="F906" t="s">
        <v>23</v>
      </c>
      <c r="G906" s="1">
        <v>45833</v>
      </c>
      <c r="H906" s="1">
        <v>45847</v>
      </c>
      <c r="I906">
        <v>14</v>
      </c>
      <c r="J906">
        <v>90146</v>
      </c>
    </row>
    <row r="907" spans="1:10" x14ac:dyDescent="0.3">
      <c r="A907" t="s">
        <v>1084</v>
      </c>
      <c r="B907" t="s">
        <v>82</v>
      </c>
      <c r="C907">
        <v>33</v>
      </c>
      <c r="D907" t="s">
        <v>17</v>
      </c>
      <c r="E907" t="s">
        <v>30</v>
      </c>
      <c r="F907" t="s">
        <v>59</v>
      </c>
      <c r="G907" s="1">
        <v>45730</v>
      </c>
      <c r="H907" s="1">
        <v>45742</v>
      </c>
      <c r="I907">
        <v>12</v>
      </c>
      <c r="J907">
        <v>91548</v>
      </c>
    </row>
    <row r="908" spans="1:10" x14ac:dyDescent="0.3">
      <c r="A908" t="s">
        <v>1085</v>
      </c>
      <c r="B908" t="s">
        <v>445</v>
      </c>
      <c r="C908">
        <v>23</v>
      </c>
      <c r="D908" t="s">
        <v>12</v>
      </c>
      <c r="E908" t="s">
        <v>26</v>
      </c>
      <c r="F908" t="s">
        <v>34</v>
      </c>
      <c r="G908" s="1">
        <v>45822</v>
      </c>
      <c r="H908" s="1">
        <v>45836</v>
      </c>
      <c r="I908">
        <v>14</v>
      </c>
      <c r="J908">
        <v>140812</v>
      </c>
    </row>
    <row r="909" spans="1:10" x14ac:dyDescent="0.3">
      <c r="A909" t="s">
        <v>1086</v>
      </c>
      <c r="B909" t="s">
        <v>201</v>
      </c>
      <c r="C909">
        <v>14</v>
      </c>
      <c r="D909" t="s">
        <v>12</v>
      </c>
      <c r="E909" t="s">
        <v>33</v>
      </c>
      <c r="F909" t="s">
        <v>62</v>
      </c>
      <c r="G909" s="1">
        <v>45927</v>
      </c>
      <c r="H909" s="1">
        <v>45935</v>
      </c>
      <c r="I909">
        <v>8</v>
      </c>
      <c r="J909">
        <v>59720</v>
      </c>
    </row>
    <row r="910" spans="1:10" x14ac:dyDescent="0.3">
      <c r="A910" t="s">
        <v>1087</v>
      </c>
      <c r="B910" t="s">
        <v>394</v>
      </c>
      <c r="C910">
        <v>53</v>
      </c>
      <c r="D910" t="s">
        <v>12</v>
      </c>
      <c r="E910" t="s">
        <v>18</v>
      </c>
      <c r="F910" t="s">
        <v>34</v>
      </c>
      <c r="G910" s="1">
        <v>45987</v>
      </c>
      <c r="H910" s="1">
        <v>45991</v>
      </c>
      <c r="I910">
        <v>4</v>
      </c>
      <c r="J910">
        <v>25400</v>
      </c>
    </row>
    <row r="911" spans="1:10" x14ac:dyDescent="0.3">
      <c r="A911" t="s">
        <v>1088</v>
      </c>
      <c r="B911" t="s">
        <v>74</v>
      </c>
      <c r="C911">
        <v>6</v>
      </c>
      <c r="D911" t="s">
        <v>17</v>
      </c>
      <c r="E911" t="s">
        <v>102</v>
      </c>
      <c r="F911" t="s">
        <v>42</v>
      </c>
      <c r="G911" s="1">
        <v>45961</v>
      </c>
      <c r="H911" s="1">
        <v>45963</v>
      </c>
      <c r="I911">
        <v>2</v>
      </c>
      <c r="J911">
        <v>18142</v>
      </c>
    </row>
    <row r="912" spans="1:10" x14ac:dyDescent="0.3">
      <c r="A912" t="s">
        <v>1089</v>
      </c>
      <c r="B912" t="s">
        <v>220</v>
      </c>
      <c r="C912">
        <v>42</v>
      </c>
      <c r="D912" t="s">
        <v>17</v>
      </c>
      <c r="E912" t="s">
        <v>45</v>
      </c>
      <c r="F912" t="s">
        <v>23</v>
      </c>
      <c r="G912" s="1">
        <v>46021</v>
      </c>
      <c r="H912" s="1">
        <v>46029</v>
      </c>
      <c r="I912">
        <v>8</v>
      </c>
      <c r="J912">
        <v>72080</v>
      </c>
    </row>
    <row r="913" spans="1:10" x14ac:dyDescent="0.3">
      <c r="A913" t="s">
        <v>1090</v>
      </c>
      <c r="B913" t="s">
        <v>690</v>
      </c>
      <c r="C913">
        <v>59</v>
      </c>
      <c r="D913" t="s">
        <v>12</v>
      </c>
      <c r="E913" t="s">
        <v>48</v>
      </c>
      <c r="F913" t="s">
        <v>59</v>
      </c>
      <c r="G913" s="1">
        <v>45702</v>
      </c>
      <c r="H913" s="1">
        <v>45713</v>
      </c>
      <c r="I913">
        <v>11</v>
      </c>
      <c r="J913">
        <v>110627</v>
      </c>
    </row>
    <row r="914" spans="1:10" x14ac:dyDescent="0.3">
      <c r="A914" t="s">
        <v>1091</v>
      </c>
      <c r="B914" t="s">
        <v>550</v>
      </c>
      <c r="C914">
        <v>69</v>
      </c>
      <c r="D914" t="s">
        <v>12</v>
      </c>
      <c r="E914" t="s">
        <v>39</v>
      </c>
      <c r="F914" t="s">
        <v>27</v>
      </c>
      <c r="G914" s="1">
        <v>45714</v>
      </c>
      <c r="H914" s="1">
        <v>45715</v>
      </c>
      <c r="I914">
        <v>1</v>
      </c>
      <c r="J914">
        <v>11656</v>
      </c>
    </row>
    <row r="915" spans="1:10" x14ac:dyDescent="0.3">
      <c r="A915" t="s">
        <v>1092</v>
      </c>
      <c r="B915" t="s">
        <v>419</v>
      </c>
      <c r="C915">
        <v>19</v>
      </c>
      <c r="D915" t="s">
        <v>12</v>
      </c>
      <c r="E915" t="s">
        <v>39</v>
      </c>
      <c r="F915" t="s">
        <v>19</v>
      </c>
      <c r="G915" s="1">
        <v>45880</v>
      </c>
      <c r="H915" s="1">
        <v>45895</v>
      </c>
      <c r="I915">
        <v>15</v>
      </c>
      <c r="J915">
        <v>176925</v>
      </c>
    </row>
    <row r="916" spans="1:10" x14ac:dyDescent="0.3">
      <c r="A916" t="s">
        <v>1093</v>
      </c>
      <c r="B916" t="s">
        <v>156</v>
      </c>
      <c r="C916">
        <v>15</v>
      </c>
      <c r="D916" t="s">
        <v>17</v>
      </c>
      <c r="E916" t="s">
        <v>45</v>
      </c>
      <c r="F916" t="s">
        <v>19</v>
      </c>
      <c r="G916" s="1">
        <v>45757</v>
      </c>
      <c r="H916" s="1">
        <v>45767</v>
      </c>
      <c r="I916">
        <v>10</v>
      </c>
      <c r="J916">
        <v>62500</v>
      </c>
    </row>
    <row r="917" spans="1:10" x14ac:dyDescent="0.3">
      <c r="A917" t="s">
        <v>1094</v>
      </c>
      <c r="B917" t="s">
        <v>72</v>
      </c>
      <c r="C917">
        <v>41</v>
      </c>
      <c r="D917" t="s">
        <v>12</v>
      </c>
      <c r="E917" t="s">
        <v>22</v>
      </c>
      <c r="F917" t="s">
        <v>34</v>
      </c>
      <c r="G917" s="1">
        <v>45979</v>
      </c>
      <c r="H917" s="1">
        <v>45991</v>
      </c>
      <c r="I917">
        <v>12</v>
      </c>
      <c r="J917">
        <v>102372</v>
      </c>
    </row>
    <row r="918" spans="1:10" x14ac:dyDescent="0.3">
      <c r="A918" t="s">
        <v>1095</v>
      </c>
      <c r="B918" t="s">
        <v>759</v>
      </c>
      <c r="C918">
        <v>25</v>
      </c>
      <c r="D918" t="s">
        <v>12</v>
      </c>
      <c r="E918" t="s">
        <v>45</v>
      </c>
      <c r="F918" t="s">
        <v>27</v>
      </c>
      <c r="G918" s="1">
        <v>45844</v>
      </c>
      <c r="H918" s="1">
        <v>45855</v>
      </c>
      <c r="I918">
        <v>11</v>
      </c>
      <c r="J918">
        <v>59752</v>
      </c>
    </row>
    <row r="919" spans="1:10" x14ac:dyDescent="0.3">
      <c r="A919" t="s">
        <v>1096</v>
      </c>
      <c r="B919" t="s">
        <v>187</v>
      </c>
      <c r="C919">
        <v>71</v>
      </c>
      <c r="D919" t="s">
        <v>12</v>
      </c>
      <c r="E919" t="s">
        <v>39</v>
      </c>
      <c r="F919" t="s">
        <v>34</v>
      </c>
      <c r="G919" s="1">
        <v>45927</v>
      </c>
      <c r="H919" s="1">
        <v>45932</v>
      </c>
      <c r="I919">
        <v>5</v>
      </c>
      <c r="J919">
        <v>37040</v>
      </c>
    </row>
    <row r="920" spans="1:10" x14ac:dyDescent="0.3">
      <c r="A920" t="s">
        <v>1097</v>
      </c>
      <c r="B920" t="s">
        <v>247</v>
      </c>
      <c r="C920">
        <v>9</v>
      </c>
      <c r="D920" t="s">
        <v>12</v>
      </c>
      <c r="E920" t="s">
        <v>18</v>
      </c>
      <c r="F920" t="s">
        <v>59</v>
      </c>
      <c r="G920" s="1">
        <v>45796</v>
      </c>
      <c r="H920" s="1">
        <v>45811</v>
      </c>
      <c r="I920">
        <v>15</v>
      </c>
      <c r="J920">
        <v>171540</v>
      </c>
    </row>
    <row r="921" spans="1:10" x14ac:dyDescent="0.3">
      <c r="A921" t="s">
        <v>1098</v>
      </c>
      <c r="B921" t="s">
        <v>377</v>
      </c>
      <c r="C921">
        <v>26</v>
      </c>
      <c r="D921" t="s">
        <v>12</v>
      </c>
      <c r="E921" t="s">
        <v>45</v>
      </c>
      <c r="F921" t="s">
        <v>19</v>
      </c>
      <c r="G921" s="1">
        <v>45931</v>
      </c>
      <c r="H921" s="1">
        <v>45934</v>
      </c>
      <c r="I921">
        <v>3</v>
      </c>
      <c r="J921">
        <v>28506</v>
      </c>
    </row>
    <row r="922" spans="1:10" x14ac:dyDescent="0.3">
      <c r="A922" t="s">
        <v>1099</v>
      </c>
      <c r="B922" t="s">
        <v>217</v>
      </c>
      <c r="C922">
        <v>59</v>
      </c>
      <c r="D922" t="s">
        <v>17</v>
      </c>
      <c r="E922" t="s">
        <v>102</v>
      </c>
      <c r="F922" t="s">
        <v>14</v>
      </c>
      <c r="G922" s="1">
        <v>45661</v>
      </c>
      <c r="H922" s="1">
        <v>45667</v>
      </c>
      <c r="I922">
        <v>6</v>
      </c>
      <c r="J922">
        <v>30552</v>
      </c>
    </row>
    <row r="923" spans="1:10" x14ac:dyDescent="0.3">
      <c r="A923" t="s">
        <v>1100</v>
      </c>
      <c r="B923" t="s">
        <v>220</v>
      </c>
      <c r="C923">
        <v>82</v>
      </c>
      <c r="D923" t="s">
        <v>12</v>
      </c>
      <c r="E923" t="s">
        <v>48</v>
      </c>
      <c r="F923" t="s">
        <v>42</v>
      </c>
      <c r="G923" s="1">
        <v>45717</v>
      </c>
      <c r="H923" s="1">
        <v>45726</v>
      </c>
      <c r="I923">
        <v>9</v>
      </c>
      <c r="J923">
        <v>84447</v>
      </c>
    </row>
    <row r="924" spans="1:10" x14ac:dyDescent="0.3">
      <c r="A924" t="s">
        <v>1101</v>
      </c>
      <c r="B924" t="s">
        <v>550</v>
      </c>
      <c r="C924">
        <v>30</v>
      </c>
      <c r="D924" t="s">
        <v>12</v>
      </c>
      <c r="E924" t="s">
        <v>26</v>
      </c>
      <c r="F924" t="s">
        <v>14</v>
      </c>
      <c r="G924" s="1">
        <v>45669</v>
      </c>
      <c r="H924" s="1">
        <v>45672</v>
      </c>
      <c r="I924">
        <v>3</v>
      </c>
      <c r="J924">
        <v>31950</v>
      </c>
    </row>
    <row r="925" spans="1:10" x14ac:dyDescent="0.3">
      <c r="A925" t="s">
        <v>1102</v>
      </c>
      <c r="B925" t="s">
        <v>445</v>
      </c>
      <c r="C925">
        <v>57</v>
      </c>
      <c r="D925" t="s">
        <v>17</v>
      </c>
      <c r="E925" t="s">
        <v>48</v>
      </c>
      <c r="F925" t="s">
        <v>27</v>
      </c>
      <c r="G925" s="1">
        <v>45929</v>
      </c>
      <c r="H925" s="1">
        <v>45933</v>
      </c>
      <c r="I925">
        <v>4</v>
      </c>
      <c r="J925">
        <v>37532</v>
      </c>
    </row>
    <row r="926" spans="1:10" x14ac:dyDescent="0.3">
      <c r="A926" t="s">
        <v>1103</v>
      </c>
      <c r="B926" t="s">
        <v>249</v>
      </c>
      <c r="C926">
        <v>64</v>
      </c>
      <c r="D926" t="s">
        <v>12</v>
      </c>
      <c r="E926" t="s">
        <v>33</v>
      </c>
      <c r="F926" t="s">
        <v>27</v>
      </c>
      <c r="G926" s="1">
        <v>45800</v>
      </c>
      <c r="H926" s="1">
        <v>45809</v>
      </c>
      <c r="I926">
        <v>9</v>
      </c>
      <c r="J926">
        <v>47538</v>
      </c>
    </row>
    <row r="927" spans="1:10" x14ac:dyDescent="0.3">
      <c r="A927" t="s">
        <v>1104</v>
      </c>
      <c r="B927" t="s">
        <v>201</v>
      </c>
      <c r="C927">
        <v>11</v>
      </c>
      <c r="D927" t="s">
        <v>12</v>
      </c>
      <c r="E927" t="s">
        <v>39</v>
      </c>
      <c r="F927" t="s">
        <v>19</v>
      </c>
      <c r="G927" s="1">
        <v>45786</v>
      </c>
      <c r="H927" s="1">
        <v>45789</v>
      </c>
      <c r="I927">
        <v>3</v>
      </c>
      <c r="J927">
        <v>29952</v>
      </c>
    </row>
    <row r="928" spans="1:10" x14ac:dyDescent="0.3">
      <c r="A928" t="s">
        <v>1105</v>
      </c>
      <c r="B928" t="s">
        <v>168</v>
      </c>
      <c r="C928">
        <v>7</v>
      </c>
      <c r="D928" t="s">
        <v>12</v>
      </c>
      <c r="E928" t="s">
        <v>45</v>
      </c>
      <c r="F928" t="s">
        <v>19</v>
      </c>
      <c r="G928" s="1">
        <v>45832</v>
      </c>
      <c r="H928" s="1">
        <v>45841</v>
      </c>
      <c r="I928">
        <v>9</v>
      </c>
      <c r="J928">
        <v>69057</v>
      </c>
    </row>
    <row r="929" spans="1:10" x14ac:dyDescent="0.3">
      <c r="A929" t="s">
        <v>1106</v>
      </c>
      <c r="B929" t="s">
        <v>377</v>
      </c>
      <c r="C929">
        <v>65</v>
      </c>
      <c r="D929" t="s">
        <v>17</v>
      </c>
      <c r="E929" t="s">
        <v>102</v>
      </c>
      <c r="F929" t="s">
        <v>27</v>
      </c>
      <c r="G929" s="1">
        <v>45865</v>
      </c>
      <c r="H929" s="1">
        <v>45872</v>
      </c>
      <c r="I929">
        <v>7</v>
      </c>
      <c r="J929">
        <v>38780</v>
      </c>
    </row>
    <row r="930" spans="1:10" x14ac:dyDescent="0.3">
      <c r="A930" t="s">
        <v>1107</v>
      </c>
      <c r="B930" t="s">
        <v>89</v>
      </c>
      <c r="C930">
        <v>34</v>
      </c>
      <c r="D930" t="s">
        <v>12</v>
      </c>
      <c r="E930" t="s">
        <v>45</v>
      </c>
      <c r="F930" t="s">
        <v>34</v>
      </c>
      <c r="G930" s="1">
        <v>45879</v>
      </c>
      <c r="H930" s="1">
        <v>45893</v>
      </c>
      <c r="I930">
        <v>14</v>
      </c>
      <c r="J930">
        <v>91266</v>
      </c>
    </row>
    <row r="931" spans="1:10" x14ac:dyDescent="0.3">
      <c r="A931" t="s">
        <v>1108</v>
      </c>
      <c r="B931" t="s">
        <v>82</v>
      </c>
      <c r="C931">
        <v>73</v>
      </c>
      <c r="D931" t="s">
        <v>12</v>
      </c>
      <c r="E931" t="s">
        <v>18</v>
      </c>
      <c r="F931" t="s">
        <v>34</v>
      </c>
      <c r="G931" s="1">
        <v>46017</v>
      </c>
      <c r="H931" s="1">
        <v>46031</v>
      </c>
      <c r="I931">
        <v>14</v>
      </c>
      <c r="J931">
        <v>103614</v>
      </c>
    </row>
    <row r="932" spans="1:10" x14ac:dyDescent="0.3">
      <c r="A932" t="s">
        <v>1109</v>
      </c>
      <c r="B932" t="s">
        <v>467</v>
      </c>
      <c r="C932">
        <v>12</v>
      </c>
      <c r="D932" t="s">
        <v>17</v>
      </c>
      <c r="E932" t="s">
        <v>45</v>
      </c>
      <c r="F932" t="s">
        <v>27</v>
      </c>
      <c r="G932" s="1">
        <v>45775</v>
      </c>
      <c r="H932" s="1">
        <v>45783</v>
      </c>
      <c r="I932">
        <v>8</v>
      </c>
      <c r="J932">
        <v>93488</v>
      </c>
    </row>
    <row r="933" spans="1:10" x14ac:dyDescent="0.3">
      <c r="A933" t="s">
        <v>1110</v>
      </c>
      <c r="B933" t="s">
        <v>178</v>
      </c>
      <c r="C933">
        <v>73</v>
      </c>
      <c r="D933" t="s">
        <v>12</v>
      </c>
      <c r="E933" t="s">
        <v>48</v>
      </c>
      <c r="F933" t="s">
        <v>23</v>
      </c>
      <c r="G933" s="1">
        <v>45786</v>
      </c>
      <c r="H933" s="1">
        <v>45801</v>
      </c>
      <c r="I933">
        <v>15</v>
      </c>
      <c r="J933">
        <v>124650</v>
      </c>
    </row>
    <row r="934" spans="1:10" x14ac:dyDescent="0.3">
      <c r="A934" t="s">
        <v>1111</v>
      </c>
      <c r="B934" t="s">
        <v>690</v>
      </c>
      <c r="C934">
        <v>58</v>
      </c>
      <c r="D934" t="s">
        <v>12</v>
      </c>
      <c r="E934" t="s">
        <v>48</v>
      </c>
      <c r="F934" t="s">
        <v>19</v>
      </c>
      <c r="G934" s="1">
        <v>45890</v>
      </c>
      <c r="H934" s="1">
        <v>45899</v>
      </c>
      <c r="I934">
        <v>9</v>
      </c>
      <c r="J934">
        <v>41310</v>
      </c>
    </row>
    <row r="935" spans="1:10" x14ac:dyDescent="0.3">
      <c r="A935" t="s">
        <v>1112</v>
      </c>
      <c r="B935" t="s">
        <v>251</v>
      </c>
      <c r="C935">
        <v>12</v>
      </c>
      <c r="D935" t="s">
        <v>12</v>
      </c>
      <c r="E935" t="s">
        <v>45</v>
      </c>
      <c r="F935" t="s">
        <v>62</v>
      </c>
      <c r="G935" s="1">
        <v>45721</v>
      </c>
      <c r="H935" s="1">
        <v>45735</v>
      </c>
      <c r="I935">
        <v>14</v>
      </c>
      <c r="J935">
        <v>89208</v>
      </c>
    </row>
    <row r="936" spans="1:10" x14ac:dyDescent="0.3">
      <c r="A936" t="s">
        <v>1113</v>
      </c>
      <c r="B936" t="s">
        <v>89</v>
      </c>
      <c r="C936">
        <v>90</v>
      </c>
      <c r="D936" t="s">
        <v>17</v>
      </c>
      <c r="E936" t="s">
        <v>39</v>
      </c>
      <c r="F936" t="s">
        <v>42</v>
      </c>
      <c r="G936" s="1">
        <v>45984</v>
      </c>
      <c r="H936" s="1">
        <v>45992</v>
      </c>
      <c r="I936">
        <v>8</v>
      </c>
      <c r="J936">
        <v>38240</v>
      </c>
    </row>
    <row r="937" spans="1:10" x14ac:dyDescent="0.3">
      <c r="A937" t="s">
        <v>1114</v>
      </c>
      <c r="B937" t="s">
        <v>251</v>
      </c>
      <c r="C937">
        <v>29</v>
      </c>
      <c r="D937" t="s">
        <v>17</v>
      </c>
      <c r="E937" t="s">
        <v>26</v>
      </c>
      <c r="F937" t="s">
        <v>34</v>
      </c>
      <c r="G937" s="1">
        <v>45947</v>
      </c>
      <c r="H937" s="1">
        <v>45962</v>
      </c>
      <c r="I937">
        <v>15</v>
      </c>
      <c r="J937">
        <v>148770</v>
      </c>
    </row>
    <row r="938" spans="1:10" x14ac:dyDescent="0.3">
      <c r="A938" t="s">
        <v>1115</v>
      </c>
      <c r="B938" t="s">
        <v>345</v>
      </c>
      <c r="C938">
        <v>75</v>
      </c>
      <c r="D938" t="s">
        <v>17</v>
      </c>
      <c r="E938" t="s">
        <v>45</v>
      </c>
      <c r="F938" t="s">
        <v>62</v>
      </c>
      <c r="G938" s="1">
        <v>46006</v>
      </c>
      <c r="H938" s="1">
        <v>46010</v>
      </c>
      <c r="I938">
        <v>4</v>
      </c>
      <c r="J938">
        <v>16484</v>
      </c>
    </row>
    <row r="939" spans="1:10" x14ac:dyDescent="0.3">
      <c r="A939" t="s">
        <v>1116</v>
      </c>
      <c r="B939" t="s">
        <v>375</v>
      </c>
      <c r="C939">
        <v>64</v>
      </c>
      <c r="D939" t="s">
        <v>12</v>
      </c>
      <c r="E939" t="s">
        <v>30</v>
      </c>
      <c r="F939" t="s">
        <v>42</v>
      </c>
      <c r="G939" s="1">
        <v>45900</v>
      </c>
      <c r="H939" s="1">
        <v>45912</v>
      </c>
      <c r="I939">
        <v>12</v>
      </c>
      <c r="J939">
        <v>102180</v>
      </c>
    </row>
    <row r="940" spans="1:10" x14ac:dyDescent="0.3">
      <c r="A940" t="s">
        <v>1117</v>
      </c>
      <c r="B940" t="s">
        <v>273</v>
      </c>
      <c r="C940">
        <v>80</v>
      </c>
      <c r="D940" t="s">
        <v>12</v>
      </c>
      <c r="E940" t="s">
        <v>45</v>
      </c>
      <c r="F940" t="s">
        <v>62</v>
      </c>
      <c r="G940" s="1">
        <v>45790</v>
      </c>
      <c r="H940" s="1">
        <v>45794</v>
      </c>
      <c r="I940">
        <v>4</v>
      </c>
      <c r="J940">
        <v>42928</v>
      </c>
    </row>
    <row r="941" spans="1:10" x14ac:dyDescent="0.3">
      <c r="A941" t="s">
        <v>1118</v>
      </c>
      <c r="B941" t="s">
        <v>377</v>
      </c>
      <c r="C941">
        <v>3</v>
      </c>
      <c r="D941" t="s">
        <v>17</v>
      </c>
      <c r="E941" t="s">
        <v>39</v>
      </c>
      <c r="F941" t="s">
        <v>59</v>
      </c>
      <c r="G941" s="1">
        <v>45895</v>
      </c>
      <c r="H941" s="1">
        <v>45909</v>
      </c>
      <c r="I941">
        <v>14</v>
      </c>
      <c r="J941">
        <v>117572</v>
      </c>
    </row>
    <row r="942" spans="1:10" x14ac:dyDescent="0.3">
      <c r="A942" t="s">
        <v>1119</v>
      </c>
      <c r="B942" t="s">
        <v>245</v>
      </c>
      <c r="C942">
        <v>9</v>
      </c>
      <c r="D942" t="s">
        <v>12</v>
      </c>
      <c r="E942" t="s">
        <v>48</v>
      </c>
      <c r="F942" t="s">
        <v>23</v>
      </c>
      <c r="G942" s="1">
        <v>45747</v>
      </c>
      <c r="H942" s="1">
        <v>45752</v>
      </c>
      <c r="I942">
        <v>5</v>
      </c>
      <c r="J942">
        <v>51830</v>
      </c>
    </row>
    <row r="943" spans="1:10" x14ac:dyDescent="0.3">
      <c r="A943" t="s">
        <v>1120</v>
      </c>
      <c r="B943" t="s">
        <v>93</v>
      </c>
      <c r="C943">
        <v>35</v>
      </c>
      <c r="D943" t="s">
        <v>12</v>
      </c>
      <c r="E943" t="s">
        <v>39</v>
      </c>
      <c r="F943" t="s">
        <v>23</v>
      </c>
      <c r="G943" s="1">
        <v>45700</v>
      </c>
      <c r="H943" s="1">
        <v>45712</v>
      </c>
      <c r="I943">
        <v>12</v>
      </c>
      <c r="J943">
        <v>87864</v>
      </c>
    </row>
    <row r="944" spans="1:10" x14ac:dyDescent="0.3">
      <c r="A944" t="s">
        <v>1121</v>
      </c>
      <c r="B944" t="s">
        <v>207</v>
      </c>
      <c r="C944">
        <v>32</v>
      </c>
      <c r="D944" t="s">
        <v>12</v>
      </c>
      <c r="E944" t="s">
        <v>48</v>
      </c>
      <c r="F944" t="s">
        <v>62</v>
      </c>
      <c r="G944" s="1">
        <v>45800</v>
      </c>
      <c r="H944" s="1">
        <v>45808</v>
      </c>
      <c r="I944">
        <v>8</v>
      </c>
      <c r="J944">
        <v>48384</v>
      </c>
    </row>
    <row r="945" spans="1:10" x14ac:dyDescent="0.3">
      <c r="A945" t="s">
        <v>1122</v>
      </c>
      <c r="B945" t="s">
        <v>72</v>
      </c>
      <c r="C945">
        <v>77</v>
      </c>
      <c r="D945" t="s">
        <v>12</v>
      </c>
      <c r="E945" t="s">
        <v>22</v>
      </c>
      <c r="F945" t="s">
        <v>59</v>
      </c>
      <c r="G945" s="1">
        <v>45662</v>
      </c>
      <c r="H945" s="1">
        <v>45666</v>
      </c>
      <c r="I945">
        <v>4</v>
      </c>
      <c r="J945">
        <v>23640</v>
      </c>
    </row>
    <row r="946" spans="1:10" x14ac:dyDescent="0.3">
      <c r="A946" t="s">
        <v>1123</v>
      </c>
      <c r="B946" t="s">
        <v>168</v>
      </c>
      <c r="C946">
        <v>53</v>
      </c>
      <c r="D946" t="s">
        <v>12</v>
      </c>
      <c r="E946" t="s">
        <v>39</v>
      </c>
      <c r="F946" t="s">
        <v>42</v>
      </c>
      <c r="G946" s="1">
        <v>45832</v>
      </c>
      <c r="H946" s="1">
        <v>45834</v>
      </c>
      <c r="I946">
        <v>2</v>
      </c>
      <c r="J946">
        <v>16560</v>
      </c>
    </row>
    <row r="947" spans="1:10" x14ac:dyDescent="0.3">
      <c r="A947" t="s">
        <v>1124</v>
      </c>
      <c r="B947" t="s">
        <v>554</v>
      </c>
      <c r="C947">
        <v>82</v>
      </c>
      <c r="D947" t="s">
        <v>12</v>
      </c>
      <c r="E947" t="s">
        <v>102</v>
      </c>
      <c r="F947" t="s">
        <v>27</v>
      </c>
      <c r="G947" s="1">
        <v>45943</v>
      </c>
      <c r="H947" s="1">
        <v>45956</v>
      </c>
      <c r="I947">
        <v>13</v>
      </c>
      <c r="J947">
        <v>80483</v>
      </c>
    </row>
    <row r="948" spans="1:10" x14ac:dyDescent="0.3">
      <c r="A948" t="s">
        <v>1125</v>
      </c>
      <c r="B948" t="s">
        <v>176</v>
      </c>
      <c r="C948">
        <v>38</v>
      </c>
      <c r="D948" t="s">
        <v>17</v>
      </c>
      <c r="E948" t="s">
        <v>26</v>
      </c>
      <c r="F948" t="s">
        <v>59</v>
      </c>
      <c r="G948" s="1">
        <v>45672</v>
      </c>
      <c r="H948" s="1">
        <v>45679</v>
      </c>
      <c r="I948">
        <v>7</v>
      </c>
      <c r="J948">
        <v>35819</v>
      </c>
    </row>
    <row r="949" spans="1:10" x14ac:dyDescent="0.3">
      <c r="A949" t="s">
        <v>1126</v>
      </c>
      <c r="B949" t="s">
        <v>178</v>
      </c>
      <c r="C949">
        <v>63</v>
      </c>
      <c r="D949" t="s">
        <v>17</v>
      </c>
      <c r="E949" t="s">
        <v>22</v>
      </c>
      <c r="F949" t="s">
        <v>34</v>
      </c>
      <c r="G949" s="1">
        <v>45989</v>
      </c>
      <c r="H949" s="1">
        <v>46004</v>
      </c>
      <c r="I949">
        <v>15</v>
      </c>
      <c r="J949">
        <v>82710</v>
      </c>
    </row>
    <row r="950" spans="1:10" x14ac:dyDescent="0.3">
      <c r="A950" t="s">
        <v>1127</v>
      </c>
      <c r="B950" t="s">
        <v>199</v>
      </c>
      <c r="C950">
        <v>52</v>
      </c>
      <c r="D950" t="s">
        <v>17</v>
      </c>
      <c r="E950" t="s">
        <v>33</v>
      </c>
      <c r="F950" t="s">
        <v>27</v>
      </c>
      <c r="G950" s="1">
        <v>46003</v>
      </c>
      <c r="H950" s="1">
        <v>46012</v>
      </c>
      <c r="I950">
        <v>9</v>
      </c>
      <c r="J950">
        <v>52731</v>
      </c>
    </row>
    <row r="951" spans="1:10" x14ac:dyDescent="0.3">
      <c r="A951" t="s">
        <v>1128</v>
      </c>
      <c r="B951" t="s">
        <v>66</v>
      </c>
      <c r="C951">
        <v>51</v>
      </c>
      <c r="D951" t="s">
        <v>12</v>
      </c>
      <c r="E951" t="s">
        <v>33</v>
      </c>
      <c r="F951" t="s">
        <v>62</v>
      </c>
      <c r="G951" s="1">
        <v>45915</v>
      </c>
      <c r="H951" s="1">
        <v>45918</v>
      </c>
      <c r="I951">
        <v>3</v>
      </c>
      <c r="J951">
        <v>22803</v>
      </c>
    </row>
    <row r="952" spans="1:10" x14ac:dyDescent="0.3">
      <c r="A952" t="s">
        <v>1129</v>
      </c>
      <c r="B952" t="s">
        <v>36</v>
      </c>
      <c r="C952">
        <v>13</v>
      </c>
      <c r="D952" t="s">
        <v>17</v>
      </c>
      <c r="E952" t="s">
        <v>45</v>
      </c>
      <c r="F952" t="s">
        <v>59</v>
      </c>
      <c r="G952" s="1">
        <v>45833</v>
      </c>
      <c r="H952" s="1">
        <v>45834</v>
      </c>
      <c r="I952">
        <v>1</v>
      </c>
      <c r="J952">
        <v>5886</v>
      </c>
    </row>
    <row r="953" spans="1:10" x14ac:dyDescent="0.3">
      <c r="A953" t="s">
        <v>1130</v>
      </c>
      <c r="B953" t="s">
        <v>550</v>
      </c>
      <c r="C953">
        <v>17</v>
      </c>
      <c r="D953" t="s">
        <v>12</v>
      </c>
      <c r="E953" t="s">
        <v>39</v>
      </c>
      <c r="F953" t="s">
        <v>59</v>
      </c>
      <c r="G953" s="1">
        <v>46017</v>
      </c>
      <c r="H953" s="1">
        <v>46025</v>
      </c>
      <c r="I953">
        <v>8</v>
      </c>
      <c r="J953">
        <v>93184</v>
      </c>
    </row>
    <row r="954" spans="1:10" x14ac:dyDescent="0.3">
      <c r="A954" t="s">
        <v>1131</v>
      </c>
      <c r="B954" t="s">
        <v>308</v>
      </c>
      <c r="C954">
        <v>4</v>
      </c>
      <c r="D954" t="s">
        <v>12</v>
      </c>
      <c r="E954" t="s">
        <v>30</v>
      </c>
      <c r="F954" t="s">
        <v>59</v>
      </c>
      <c r="G954" s="1">
        <v>45702</v>
      </c>
      <c r="H954" s="1">
        <v>45714</v>
      </c>
      <c r="I954">
        <v>12</v>
      </c>
      <c r="J954">
        <v>69156</v>
      </c>
    </row>
    <row r="955" spans="1:10" x14ac:dyDescent="0.3">
      <c r="A955" t="s">
        <v>1132</v>
      </c>
      <c r="B955" t="s">
        <v>247</v>
      </c>
      <c r="C955">
        <v>59</v>
      </c>
      <c r="D955" t="s">
        <v>17</v>
      </c>
      <c r="E955" t="s">
        <v>45</v>
      </c>
      <c r="F955" t="s">
        <v>14</v>
      </c>
      <c r="G955" s="1">
        <v>45668</v>
      </c>
      <c r="H955" s="1">
        <v>45676</v>
      </c>
      <c r="I955">
        <v>8</v>
      </c>
      <c r="J955">
        <v>88384</v>
      </c>
    </row>
    <row r="956" spans="1:10" x14ac:dyDescent="0.3">
      <c r="A956" t="s">
        <v>1133</v>
      </c>
      <c r="B956" t="s">
        <v>397</v>
      </c>
      <c r="C956">
        <v>39</v>
      </c>
      <c r="D956" t="s">
        <v>17</v>
      </c>
      <c r="E956" t="s">
        <v>18</v>
      </c>
      <c r="F956" t="s">
        <v>62</v>
      </c>
      <c r="G956" s="1">
        <v>45808</v>
      </c>
      <c r="H956" s="1">
        <v>45822</v>
      </c>
      <c r="I956">
        <v>14</v>
      </c>
      <c r="J956">
        <v>144214</v>
      </c>
    </row>
    <row r="957" spans="1:10" x14ac:dyDescent="0.3">
      <c r="A957" t="s">
        <v>1134</v>
      </c>
      <c r="B957" t="s">
        <v>116</v>
      </c>
      <c r="C957">
        <v>19</v>
      </c>
      <c r="D957" t="s">
        <v>12</v>
      </c>
      <c r="E957" t="s">
        <v>48</v>
      </c>
      <c r="F957" t="s">
        <v>34</v>
      </c>
      <c r="G957" s="1">
        <v>45676</v>
      </c>
      <c r="H957" s="1">
        <v>45678</v>
      </c>
      <c r="I957">
        <v>2</v>
      </c>
      <c r="J957">
        <v>19198</v>
      </c>
    </row>
    <row r="958" spans="1:10" x14ac:dyDescent="0.3">
      <c r="A958" t="s">
        <v>1135</v>
      </c>
      <c r="B958" t="s">
        <v>481</v>
      </c>
      <c r="C958">
        <v>72</v>
      </c>
      <c r="D958" t="s">
        <v>17</v>
      </c>
      <c r="E958" t="s">
        <v>26</v>
      </c>
      <c r="F958" t="s">
        <v>34</v>
      </c>
      <c r="G958" s="1">
        <v>45746</v>
      </c>
      <c r="H958" s="1">
        <v>45757</v>
      </c>
      <c r="I958">
        <v>11</v>
      </c>
      <c r="J958">
        <v>90717</v>
      </c>
    </row>
    <row r="959" spans="1:10" x14ac:dyDescent="0.3">
      <c r="A959" t="s">
        <v>1136</v>
      </c>
      <c r="B959" t="s">
        <v>151</v>
      </c>
      <c r="C959">
        <v>14</v>
      </c>
      <c r="D959" t="s">
        <v>12</v>
      </c>
      <c r="E959" t="s">
        <v>45</v>
      </c>
      <c r="F959" t="s">
        <v>62</v>
      </c>
      <c r="G959" s="1">
        <v>45667</v>
      </c>
      <c r="H959" s="1">
        <v>45668</v>
      </c>
      <c r="I959">
        <v>1</v>
      </c>
      <c r="J959">
        <v>7856</v>
      </c>
    </row>
    <row r="960" spans="1:10" x14ac:dyDescent="0.3">
      <c r="A960" t="s">
        <v>1137</v>
      </c>
      <c r="B960" t="s">
        <v>409</v>
      </c>
      <c r="C960">
        <v>13</v>
      </c>
      <c r="D960" t="s">
        <v>17</v>
      </c>
      <c r="E960" t="s">
        <v>102</v>
      </c>
      <c r="F960" t="s">
        <v>23</v>
      </c>
      <c r="G960" s="1">
        <v>45821</v>
      </c>
      <c r="H960" s="1">
        <v>45833</v>
      </c>
      <c r="I960">
        <v>12</v>
      </c>
      <c r="J960">
        <v>60180</v>
      </c>
    </row>
    <row r="961" spans="1:10" x14ac:dyDescent="0.3">
      <c r="A961" t="s">
        <v>1138</v>
      </c>
      <c r="B961" t="s">
        <v>366</v>
      </c>
      <c r="C961">
        <v>87</v>
      </c>
      <c r="D961" t="s">
        <v>17</v>
      </c>
      <c r="E961" t="s">
        <v>30</v>
      </c>
      <c r="F961" t="s">
        <v>42</v>
      </c>
      <c r="G961" s="1">
        <v>45946</v>
      </c>
      <c r="H961" s="1">
        <v>45948</v>
      </c>
      <c r="I961">
        <v>2</v>
      </c>
      <c r="J961">
        <v>16578</v>
      </c>
    </row>
    <row r="962" spans="1:10" x14ac:dyDescent="0.3">
      <c r="A962" t="s">
        <v>1139</v>
      </c>
      <c r="B962" t="s">
        <v>86</v>
      </c>
      <c r="C962">
        <v>77</v>
      </c>
      <c r="D962" t="s">
        <v>17</v>
      </c>
      <c r="E962" t="s">
        <v>22</v>
      </c>
      <c r="F962" t="s">
        <v>34</v>
      </c>
      <c r="G962" s="1">
        <v>45906</v>
      </c>
      <c r="H962" s="1">
        <v>45910</v>
      </c>
      <c r="I962">
        <v>4</v>
      </c>
      <c r="J962">
        <v>37748</v>
      </c>
    </row>
    <row r="963" spans="1:10" x14ac:dyDescent="0.3">
      <c r="A963" t="s">
        <v>1140</v>
      </c>
      <c r="B963" t="s">
        <v>178</v>
      </c>
      <c r="C963">
        <v>5</v>
      </c>
      <c r="D963" t="s">
        <v>17</v>
      </c>
      <c r="E963" t="s">
        <v>13</v>
      </c>
      <c r="F963" t="s">
        <v>59</v>
      </c>
      <c r="G963" s="1">
        <v>45720</v>
      </c>
      <c r="H963" s="1">
        <v>45728</v>
      </c>
      <c r="I963">
        <v>8</v>
      </c>
      <c r="J963">
        <v>92400</v>
      </c>
    </row>
    <row r="964" spans="1:10" x14ac:dyDescent="0.3">
      <c r="A964" t="s">
        <v>1141</v>
      </c>
      <c r="B964" t="s">
        <v>70</v>
      </c>
      <c r="C964">
        <v>63</v>
      </c>
      <c r="D964" t="s">
        <v>12</v>
      </c>
      <c r="E964" t="s">
        <v>102</v>
      </c>
      <c r="F964" t="s">
        <v>42</v>
      </c>
      <c r="G964" s="1">
        <v>45766</v>
      </c>
      <c r="H964" s="1">
        <v>45778</v>
      </c>
      <c r="I964">
        <v>12</v>
      </c>
      <c r="J964">
        <v>140124</v>
      </c>
    </row>
    <row r="965" spans="1:10" x14ac:dyDescent="0.3">
      <c r="A965" t="s">
        <v>1142</v>
      </c>
      <c r="B965" t="s">
        <v>151</v>
      </c>
      <c r="C965">
        <v>47</v>
      </c>
      <c r="D965" t="s">
        <v>17</v>
      </c>
      <c r="E965" t="s">
        <v>30</v>
      </c>
      <c r="F965" t="s">
        <v>62</v>
      </c>
      <c r="G965" s="1">
        <v>45749</v>
      </c>
      <c r="H965" s="1">
        <v>45762</v>
      </c>
      <c r="I965">
        <v>13</v>
      </c>
      <c r="J965">
        <v>115921</v>
      </c>
    </row>
    <row r="966" spans="1:10" x14ac:dyDescent="0.3">
      <c r="A966" t="s">
        <v>1143</v>
      </c>
      <c r="B966" t="s">
        <v>125</v>
      </c>
      <c r="C966">
        <v>44</v>
      </c>
      <c r="D966" t="s">
        <v>17</v>
      </c>
      <c r="E966" t="s">
        <v>13</v>
      </c>
      <c r="F966" t="s">
        <v>23</v>
      </c>
      <c r="G966" s="1">
        <v>45795</v>
      </c>
      <c r="H966" s="1">
        <v>45799</v>
      </c>
      <c r="I966">
        <v>4</v>
      </c>
      <c r="J966">
        <v>28136</v>
      </c>
    </row>
    <row r="967" spans="1:10" x14ac:dyDescent="0.3">
      <c r="A967" t="s">
        <v>1144</v>
      </c>
      <c r="B967" t="s">
        <v>381</v>
      </c>
      <c r="C967">
        <v>55</v>
      </c>
      <c r="D967" t="s">
        <v>12</v>
      </c>
      <c r="E967" t="s">
        <v>39</v>
      </c>
      <c r="F967" t="s">
        <v>42</v>
      </c>
      <c r="G967" s="1">
        <v>45955</v>
      </c>
      <c r="H967" s="1">
        <v>45963</v>
      </c>
      <c r="I967">
        <v>8</v>
      </c>
      <c r="J967">
        <v>91976</v>
      </c>
    </row>
    <row r="968" spans="1:10" x14ac:dyDescent="0.3">
      <c r="A968" t="s">
        <v>1145</v>
      </c>
      <c r="B968" t="s">
        <v>431</v>
      </c>
      <c r="C968">
        <v>53</v>
      </c>
      <c r="D968" t="s">
        <v>12</v>
      </c>
      <c r="E968" t="s">
        <v>102</v>
      </c>
      <c r="F968" t="s">
        <v>59</v>
      </c>
      <c r="G968" s="1">
        <v>45970</v>
      </c>
      <c r="H968" s="1">
        <v>45977</v>
      </c>
      <c r="I968">
        <v>7</v>
      </c>
      <c r="J968">
        <v>51905</v>
      </c>
    </row>
    <row r="969" spans="1:10" x14ac:dyDescent="0.3">
      <c r="A969" t="s">
        <v>1146</v>
      </c>
      <c r="B969" t="s">
        <v>98</v>
      </c>
      <c r="C969">
        <v>49</v>
      </c>
      <c r="D969" t="s">
        <v>12</v>
      </c>
      <c r="E969" t="s">
        <v>13</v>
      </c>
      <c r="F969" t="s">
        <v>19</v>
      </c>
      <c r="G969" s="1">
        <v>45838</v>
      </c>
      <c r="H969" s="1">
        <v>45849</v>
      </c>
      <c r="I969">
        <v>11</v>
      </c>
      <c r="J969">
        <v>87703</v>
      </c>
    </row>
    <row r="970" spans="1:10" x14ac:dyDescent="0.3">
      <c r="A970" t="s">
        <v>1147</v>
      </c>
      <c r="B970" t="s">
        <v>36</v>
      </c>
      <c r="C970">
        <v>84</v>
      </c>
      <c r="D970" t="s">
        <v>12</v>
      </c>
      <c r="E970" t="s">
        <v>18</v>
      </c>
      <c r="F970" t="s">
        <v>34</v>
      </c>
      <c r="G970" s="1">
        <v>45747</v>
      </c>
      <c r="H970" s="1">
        <v>45749</v>
      </c>
      <c r="I970">
        <v>2</v>
      </c>
      <c r="J970">
        <v>15070</v>
      </c>
    </row>
    <row r="971" spans="1:10" x14ac:dyDescent="0.3">
      <c r="A971" t="s">
        <v>1148</v>
      </c>
      <c r="B971" t="s">
        <v>93</v>
      </c>
      <c r="C971">
        <v>89</v>
      </c>
      <c r="D971" t="s">
        <v>17</v>
      </c>
      <c r="E971" t="s">
        <v>26</v>
      </c>
      <c r="F971" t="s">
        <v>27</v>
      </c>
      <c r="G971" s="1">
        <v>45982</v>
      </c>
      <c r="H971" s="1">
        <v>45983</v>
      </c>
      <c r="I971">
        <v>1</v>
      </c>
      <c r="J971">
        <v>5364</v>
      </c>
    </row>
    <row r="972" spans="1:10" x14ac:dyDescent="0.3">
      <c r="A972" t="s">
        <v>1149</v>
      </c>
      <c r="B972" t="s">
        <v>21</v>
      </c>
      <c r="C972">
        <v>9</v>
      </c>
      <c r="D972" t="s">
        <v>12</v>
      </c>
      <c r="E972" t="s">
        <v>13</v>
      </c>
      <c r="F972" t="s">
        <v>34</v>
      </c>
      <c r="G972" s="1">
        <v>45749</v>
      </c>
      <c r="H972" s="1">
        <v>45764</v>
      </c>
      <c r="I972">
        <v>15</v>
      </c>
      <c r="J972">
        <v>90000</v>
      </c>
    </row>
    <row r="973" spans="1:10" x14ac:dyDescent="0.3">
      <c r="A973" t="s">
        <v>1150</v>
      </c>
      <c r="B973" t="s">
        <v>256</v>
      </c>
      <c r="C973">
        <v>18</v>
      </c>
      <c r="D973" t="s">
        <v>17</v>
      </c>
      <c r="E973" t="s">
        <v>18</v>
      </c>
      <c r="F973" t="s">
        <v>34</v>
      </c>
      <c r="G973" s="1">
        <v>45664</v>
      </c>
      <c r="H973" s="1">
        <v>45669</v>
      </c>
      <c r="I973">
        <v>5</v>
      </c>
      <c r="J973">
        <v>57800</v>
      </c>
    </row>
    <row r="974" spans="1:10" x14ac:dyDescent="0.3">
      <c r="A974" t="s">
        <v>1151</v>
      </c>
      <c r="B974" t="s">
        <v>84</v>
      </c>
      <c r="C974">
        <v>59</v>
      </c>
      <c r="D974" t="s">
        <v>17</v>
      </c>
      <c r="E974" t="s">
        <v>102</v>
      </c>
      <c r="F974" t="s">
        <v>42</v>
      </c>
      <c r="G974" s="1">
        <v>46002</v>
      </c>
      <c r="H974" s="1">
        <v>46012</v>
      </c>
      <c r="I974">
        <v>10</v>
      </c>
      <c r="J974">
        <v>72130</v>
      </c>
    </row>
    <row r="975" spans="1:10" x14ac:dyDescent="0.3">
      <c r="A975" t="s">
        <v>1152</v>
      </c>
      <c r="B975" t="s">
        <v>196</v>
      </c>
      <c r="C975">
        <v>35</v>
      </c>
      <c r="D975" t="s">
        <v>12</v>
      </c>
      <c r="E975" t="s">
        <v>102</v>
      </c>
      <c r="F975" t="s">
        <v>62</v>
      </c>
      <c r="G975" s="1">
        <v>45888</v>
      </c>
      <c r="H975" s="1">
        <v>45893</v>
      </c>
      <c r="I975">
        <v>5</v>
      </c>
      <c r="J975">
        <v>53720</v>
      </c>
    </row>
    <row r="976" spans="1:10" x14ac:dyDescent="0.3">
      <c r="A976" t="s">
        <v>1153</v>
      </c>
      <c r="B976" t="s">
        <v>56</v>
      </c>
      <c r="C976">
        <v>41</v>
      </c>
      <c r="D976" t="s">
        <v>17</v>
      </c>
      <c r="E976" t="s">
        <v>102</v>
      </c>
      <c r="F976" t="s">
        <v>14</v>
      </c>
      <c r="G976" s="1">
        <v>45715</v>
      </c>
      <c r="H976" s="1">
        <v>45720</v>
      </c>
      <c r="I976">
        <v>5</v>
      </c>
      <c r="J976">
        <v>52260</v>
      </c>
    </row>
    <row r="977" spans="1:10" x14ac:dyDescent="0.3">
      <c r="A977" t="s">
        <v>1154</v>
      </c>
      <c r="B977" t="s">
        <v>171</v>
      </c>
      <c r="C977">
        <v>41</v>
      </c>
      <c r="D977" t="s">
        <v>12</v>
      </c>
      <c r="E977" t="s">
        <v>18</v>
      </c>
      <c r="F977" t="s">
        <v>59</v>
      </c>
      <c r="G977" s="1">
        <v>46009</v>
      </c>
      <c r="H977" s="1">
        <v>46010</v>
      </c>
      <c r="I977">
        <v>1</v>
      </c>
      <c r="J977">
        <v>10776</v>
      </c>
    </row>
    <row r="978" spans="1:10" x14ac:dyDescent="0.3">
      <c r="A978" t="s">
        <v>1155</v>
      </c>
      <c r="B978" t="s">
        <v>409</v>
      </c>
      <c r="C978">
        <v>38</v>
      </c>
      <c r="D978" t="s">
        <v>12</v>
      </c>
      <c r="E978" t="s">
        <v>30</v>
      </c>
      <c r="F978" t="s">
        <v>34</v>
      </c>
      <c r="G978" s="1">
        <v>45662</v>
      </c>
      <c r="H978" s="1">
        <v>45675</v>
      </c>
      <c r="I978">
        <v>13</v>
      </c>
      <c r="J978">
        <v>115973</v>
      </c>
    </row>
    <row r="979" spans="1:10" x14ac:dyDescent="0.3">
      <c r="A979" t="s">
        <v>1156</v>
      </c>
      <c r="B979" t="s">
        <v>322</v>
      </c>
      <c r="C979">
        <v>65</v>
      </c>
      <c r="D979" t="s">
        <v>12</v>
      </c>
      <c r="E979" t="s">
        <v>30</v>
      </c>
      <c r="F979" t="s">
        <v>19</v>
      </c>
      <c r="G979" s="1">
        <v>46001</v>
      </c>
      <c r="H979" s="1">
        <v>46005</v>
      </c>
      <c r="I979">
        <v>4</v>
      </c>
      <c r="J979">
        <v>37116</v>
      </c>
    </row>
    <row r="980" spans="1:10" x14ac:dyDescent="0.3">
      <c r="A980" t="s">
        <v>1157</v>
      </c>
      <c r="B980" t="s">
        <v>361</v>
      </c>
      <c r="C980">
        <v>18</v>
      </c>
      <c r="D980" t="s">
        <v>17</v>
      </c>
      <c r="E980" t="s">
        <v>39</v>
      </c>
      <c r="F980" t="s">
        <v>62</v>
      </c>
      <c r="G980" s="1">
        <v>45865</v>
      </c>
      <c r="H980" s="1">
        <v>45877</v>
      </c>
      <c r="I980">
        <v>12</v>
      </c>
      <c r="J980">
        <v>133824</v>
      </c>
    </row>
    <row r="981" spans="1:10" x14ac:dyDescent="0.3">
      <c r="A981" t="s">
        <v>1158</v>
      </c>
      <c r="B981" t="s">
        <v>120</v>
      </c>
      <c r="C981">
        <v>65</v>
      </c>
      <c r="D981" t="s">
        <v>17</v>
      </c>
      <c r="E981" t="s">
        <v>39</v>
      </c>
      <c r="F981" t="s">
        <v>19</v>
      </c>
      <c r="G981" s="1">
        <v>46007</v>
      </c>
      <c r="H981" s="1">
        <v>46022</v>
      </c>
      <c r="I981">
        <v>15</v>
      </c>
      <c r="J981">
        <v>149310</v>
      </c>
    </row>
    <row r="982" spans="1:10" x14ac:dyDescent="0.3">
      <c r="A982" t="s">
        <v>1159</v>
      </c>
      <c r="B982" t="s">
        <v>345</v>
      </c>
      <c r="C982">
        <v>24</v>
      </c>
      <c r="D982" t="s">
        <v>17</v>
      </c>
      <c r="E982" t="s">
        <v>33</v>
      </c>
      <c r="F982" t="s">
        <v>23</v>
      </c>
      <c r="G982" s="1">
        <v>45950</v>
      </c>
      <c r="H982" s="1">
        <v>45955</v>
      </c>
      <c r="I982">
        <v>5</v>
      </c>
      <c r="J982">
        <v>42950</v>
      </c>
    </row>
    <row r="983" spans="1:10" x14ac:dyDescent="0.3">
      <c r="A983" t="s">
        <v>1160</v>
      </c>
      <c r="B983" t="s">
        <v>139</v>
      </c>
      <c r="C983">
        <v>48</v>
      </c>
      <c r="D983" t="s">
        <v>17</v>
      </c>
      <c r="E983" t="s">
        <v>13</v>
      </c>
      <c r="F983" t="s">
        <v>14</v>
      </c>
      <c r="G983" s="1">
        <v>45796</v>
      </c>
      <c r="H983" s="1">
        <v>45800</v>
      </c>
      <c r="I983">
        <v>4</v>
      </c>
      <c r="J983">
        <v>41632</v>
      </c>
    </row>
    <row r="984" spans="1:10" x14ac:dyDescent="0.3">
      <c r="A984" t="s">
        <v>1161</v>
      </c>
      <c r="B984" t="s">
        <v>41</v>
      </c>
      <c r="C984">
        <v>4</v>
      </c>
      <c r="D984" t="s">
        <v>17</v>
      </c>
      <c r="E984" t="s">
        <v>48</v>
      </c>
      <c r="F984" t="s">
        <v>34</v>
      </c>
      <c r="G984" s="1">
        <v>45728</v>
      </c>
      <c r="H984" s="1">
        <v>45735</v>
      </c>
      <c r="I984">
        <v>7</v>
      </c>
      <c r="J984">
        <v>70420</v>
      </c>
    </row>
    <row r="985" spans="1:10" x14ac:dyDescent="0.3">
      <c r="A985" t="s">
        <v>1162</v>
      </c>
      <c r="B985" t="s">
        <v>50</v>
      </c>
      <c r="C985">
        <v>18</v>
      </c>
      <c r="D985" t="s">
        <v>12</v>
      </c>
      <c r="E985" t="s">
        <v>102</v>
      </c>
      <c r="F985" t="s">
        <v>34</v>
      </c>
      <c r="G985" s="1">
        <v>45818</v>
      </c>
      <c r="H985" s="1">
        <v>45819</v>
      </c>
      <c r="I985">
        <v>1</v>
      </c>
      <c r="J985">
        <v>11338</v>
      </c>
    </row>
    <row r="986" spans="1:10" x14ac:dyDescent="0.3">
      <c r="A986" t="s">
        <v>1163</v>
      </c>
      <c r="B986" t="s">
        <v>61</v>
      </c>
      <c r="C986">
        <v>84</v>
      </c>
      <c r="D986" t="s">
        <v>12</v>
      </c>
      <c r="E986" t="s">
        <v>33</v>
      </c>
      <c r="F986" t="s">
        <v>19</v>
      </c>
      <c r="G986" s="1">
        <v>45806</v>
      </c>
      <c r="H986" s="1">
        <v>45809</v>
      </c>
      <c r="I986">
        <v>3</v>
      </c>
      <c r="J986">
        <v>16410</v>
      </c>
    </row>
    <row r="987" spans="1:10" x14ac:dyDescent="0.3">
      <c r="A987" t="s">
        <v>1164</v>
      </c>
      <c r="B987" t="s">
        <v>249</v>
      </c>
      <c r="C987">
        <v>1</v>
      </c>
      <c r="D987" t="s">
        <v>17</v>
      </c>
      <c r="E987" t="s">
        <v>18</v>
      </c>
      <c r="F987" t="s">
        <v>42</v>
      </c>
      <c r="G987" s="1">
        <v>45731</v>
      </c>
      <c r="H987" s="1">
        <v>45734</v>
      </c>
      <c r="I987">
        <v>3</v>
      </c>
      <c r="J987">
        <v>23382</v>
      </c>
    </row>
    <row r="988" spans="1:10" x14ac:dyDescent="0.3">
      <c r="A988" t="s">
        <v>1165</v>
      </c>
      <c r="B988" t="s">
        <v>146</v>
      </c>
      <c r="C988">
        <v>44</v>
      </c>
      <c r="D988" t="s">
        <v>12</v>
      </c>
      <c r="E988" t="s">
        <v>102</v>
      </c>
      <c r="F988" t="s">
        <v>19</v>
      </c>
      <c r="G988" s="1">
        <v>45957</v>
      </c>
      <c r="H988" s="1">
        <v>45971</v>
      </c>
      <c r="I988">
        <v>14</v>
      </c>
      <c r="J988">
        <v>57722</v>
      </c>
    </row>
    <row r="989" spans="1:10" x14ac:dyDescent="0.3">
      <c r="A989" t="s">
        <v>1166</v>
      </c>
      <c r="B989" t="s">
        <v>54</v>
      </c>
      <c r="C989">
        <v>49</v>
      </c>
      <c r="D989" t="s">
        <v>12</v>
      </c>
      <c r="E989" t="s">
        <v>30</v>
      </c>
      <c r="F989" t="s">
        <v>34</v>
      </c>
      <c r="G989" s="1">
        <v>45732</v>
      </c>
      <c r="H989" s="1">
        <v>45738</v>
      </c>
      <c r="I989">
        <v>6</v>
      </c>
      <c r="J989">
        <v>55728</v>
      </c>
    </row>
    <row r="990" spans="1:10" x14ac:dyDescent="0.3">
      <c r="A990" t="s">
        <v>1167</v>
      </c>
      <c r="B990" t="s">
        <v>181</v>
      </c>
      <c r="C990">
        <v>73</v>
      </c>
      <c r="D990" t="s">
        <v>17</v>
      </c>
      <c r="E990" t="s">
        <v>102</v>
      </c>
      <c r="F990" t="s">
        <v>19</v>
      </c>
      <c r="G990" s="1">
        <v>45696</v>
      </c>
      <c r="H990" s="1">
        <v>45704</v>
      </c>
      <c r="I990">
        <v>8</v>
      </c>
      <c r="J990">
        <v>65416</v>
      </c>
    </row>
    <row r="991" spans="1:10" x14ac:dyDescent="0.3">
      <c r="A991" t="s">
        <v>1168</v>
      </c>
      <c r="B991" t="s">
        <v>217</v>
      </c>
      <c r="C991">
        <v>44</v>
      </c>
      <c r="D991" t="s">
        <v>12</v>
      </c>
      <c r="E991" t="s">
        <v>22</v>
      </c>
      <c r="F991" t="s">
        <v>62</v>
      </c>
      <c r="G991" s="1">
        <v>46021</v>
      </c>
      <c r="H991" s="1">
        <v>46022</v>
      </c>
      <c r="I991">
        <v>1</v>
      </c>
      <c r="J991">
        <v>10213</v>
      </c>
    </row>
    <row r="992" spans="1:10" x14ac:dyDescent="0.3">
      <c r="A992" t="s">
        <v>1169</v>
      </c>
      <c r="B992" t="s">
        <v>104</v>
      </c>
      <c r="C992">
        <v>4</v>
      </c>
      <c r="D992" t="s">
        <v>12</v>
      </c>
      <c r="E992" t="s">
        <v>48</v>
      </c>
      <c r="F992" t="s">
        <v>27</v>
      </c>
      <c r="G992" s="1">
        <v>45938</v>
      </c>
      <c r="H992" s="1">
        <v>45950</v>
      </c>
      <c r="I992">
        <v>12</v>
      </c>
      <c r="J992">
        <v>100488</v>
      </c>
    </row>
    <row r="993" spans="1:10" x14ac:dyDescent="0.3">
      <c r="A993" t="s">
        <v>1170</v>
      </c>
      <c r="B993" t="s">
        <v>38</v>
      </c>
      <c r="C993">
        <v>79</v>
      </c>
      <c r="D993" t="s">
        <v>17</v>
      </c>
      <c r="E993" t="s">
        <v>39</v>
      </c>
      <c r="F993" t="s">
        <v>59</v>
      </c>
      <c r="G993" s="1">
        <v>45920</v>
      </c>
      <c r="H993" s="1">
        <v>45934</v>
      </c>
      <c r="I993">
        <v>14</v>
      </c>
      <c r="J993">
        <v>90342</v>
      </c>
    </row>
    <row r="994" spans="1:10" x14ac:dyDescent="0.3">
      <c r="A994" t="s">
        <v>1171</v>
      </c>
      <c r="B994" t="s">
        <v>127</v>
      </c>
      <c r="C994">
        <v>30</v>
      </c>
      <c r="D994" t="s">
        <v>12</v>
      </c>
      <c r="E994" t="s">
        <v>39</v>
      </c>
      <c r="F994" t="s">
        <v>14</v>
      </c>
      <c r="G994" s="1">
        <v>45685</v>
      </c>
      <c r="H994" s="1">
        <v>45700</v>
      </c>
      <c r="I994">
        <v>15</v>
      </c>
      <c r="J994">
        <v>107160</v>
      </c>
    </row>
    <row r="995" spans="1:10" x14ac:dyDescent="0.3">
      <c r="A995" t="s">
        <v>1172</v>
      </c>
      <c r="B995" t="s">
        <v>238</v>
      </c>
      <c r="C995">
        <v>42</v>
      </c>
      <c r="D995" t="s">
        <v>12</v>
      </c>
      <c r="E995" t="s">
        <v>26</v>
      </c>
      <c r="F995" t="s">
        <v>59</v>
      </c>
      <c r="G995" s="1">
        <v>45723</v>
      </c>
      <c r="H995" s="1">
        <v>45738</v>
      </c>
      <c r="I995">
        <v>15</v>
      </c>
      <c r="J995">
        <v>67995</v>
      </c>
    </row>
    <row r="996" spans="1:10" x14ac:dyDescent="0.3">
      <c r="A996" t="s">
        <v>1173</v>
      </c>
      <c r="B996" t="s">
        <v>283</v>
      </c>
      <c r="C996">
        <v>27</v>
      </c>
      <c r="D996" t="s">
        <v>12</v>
      </c>
      <c r="E996" t="s">
        <v>48</v>
      </c>
      <c r="F996" t="s">
        <v>14</v>
      </c>
      <c r="G996" s="1">
        <v>45714</v>
      </c>
      <c r="H996" s="1">
        <v>45719</v>
      </c>
      <c r="I996">
        <v>5</v>
      </c>
      <c r="J996">
        <v>48365</v>
      </c>
    </row>
    <row r="997" spans="1:10" x14ac:dyDescent="0.3">
      <c r="A997" t="s">
        <v>1174</v>
      </c>
      <c r="B997" t="s">
        <v>154</v>
      </c>
      <c r="C997">
        <v>10</v>
      </c>
      <c r="D997" t="s">
        <v>17</v>
      </c>
      <c r="E997" t="s">
        <v>45</v>
      </c>
      <c r="F997" t="s">
        <v>19</v>
      </c>
      <c r="G997" s="1">
        <v>45792</v>
      </c>
      <c r="H997" s="1">
        <v>45802</v>
      </c>
      <c r="I997">
        <v>10</v>
      </c>
      <c r="J997">
        <v>82890</v>
      </c>
    </row>
    <row r="998" spans="1:10" x14ac:dyDescent="0.3">
      <c r="A998" t="s">
        <v>1175</v>
      </c>
      <c r="B998" t="s">
        <v>690</v>
      </c>
      <c r="C998">
        <v>65</v>
      </c>
      <c r="D998" t="s">
        <v>17</v>
      </c>
      <c r="E998" t="s">
        <v>48</v>
      </c>
      <c r="F998" t="s">
        <v>59</v>
      </c>
      <c r="G998" s="1">
        <v>45829</v>
      </c>
      <c r="H998" s="1">
        <v>45836</v>
      </c>
      <c r="I998">
        <v>7</v>
      </c>
      <c r="J998">
        <v>70637</v>
      </c>
    </row>
    <row r="999" spans="1:10" x14ac:dyDescent="0.3">
      <c r="A999" t="s">
        <v>1176</v>
      </c>
      <c r="B999" t="s">
        <v>267</v>
      </c>
      <c r="C999">
        <v>10</v>
      </c>
      <c r="D999" t="s">
        <v>12</v>
      </c>
      <c r="E999" t="s">
        <v>48</v>
      </c>
      <c r="F999" t="s">
        <v>42</v>
      </c>
      <c r="G999" s="1">
        <v>45804</v>
      </c>
      <c r="H999" s="1">
        <v>45817</v>
      </c>
      <c r="I999">
        <v>13</v>
      </c>
      <c r="J999">
        <v>123084</v>
      </c>
    </row>
    <row r="1000" spans="1:10" x14ac:dyDescent="0.3">
      <c r="A1000" t="s">
        <v>1177</v>
      </c>
      <c r="B1000" t="s">
        <v>231</v>
      </c>
      <c r="C1000">
        <v>89</v>
      </c>
      <c r="D1000" t="s">
        <v>17</v>
      </c>
      <c r="E1000" t="s">
        <v>13</v>
      </c>
      <c r="F1000" t="s">
        <v>59</v>
      </c>
      <c r="G1000" s="1">
        <v>45741</v>
      </c>
      <c r="H1000" s="1">
        <v>45752</v>
      </c>
      <c r="I1000">
        <v>11</v>
      </c>
      <c r="J1000">
        <v>71687</v>
      </c>
    </row>
    <row r="1001" spans="1:10" x14ac:dyDescent="0.3">
      <c r="A1001" t="s">
        <v>1178</v>
      </c>
      <c r="B1001" t="s">
        <v>118</v>
      </c>
      <c r="C1001">
        <v>40</v>
      </c>
      <c r="D1001" t="s">
        <v>17</v>
      </c>
      <c r="E1001" t="s">
        <v>13</v>
      </c>
      <c r="F1001" t="s">
        <v>27</v>
      </c>
      <c r="G1001" s="1">
        <v>45913</v>
      </c>
      <c r="H1001" s="1">
        <v>45919</v>
      </c>
      <c r="I1001">
        <v>6</v>
      </c>
      <c r="J1001">
        <v>25398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C77F-8F74-43BF-B5EC-26FB5ECD6606}">
  <dimension ref="A1:C11"/>
  <sheetViews>
    <sheetView workbookViewId="0">
      <selection activeCell="E4" sqref="E4"/>
    </sheetView>
  </sheetViews>
  <sheetFormatPr defaultRowHeight="14.4" x14ac:dyDescent="0.3"/>
  <cols>
    <col min="1" max="1" width="7.109375" bestFit="1" customWidth="1"/>
    <col min="2" max="2" width="8.6640625" bestFit="1" customWidth="1"/>
    <col min="3" max="3" width="9.77734375" bestFit="1" customWidth="1"/>
  </cols>
  <sheetData>
    <row r="1" spans="1:3" x14ac:dyDescent="0.3">
      <c r="A1" s="3" t="s">
        <v>3</v>
      </c>
      <c r="B1" s="3" t="s">
        <v>1179</v>
      </c>
      <c r="C1" s="3" t="s">
        <v>1180</v>
      </c>
    </row>
    <row r="2" spans="1:3" ht="28.8" x14ac:dyDescent="0.3">
      <c r="A2" s="4" t="s">
        <v>12</v>
      </c>
      <c r="B2" s="4" t="s">
        <v>48</v>
      </c>
      <c r="C2" s="4" t="s">
        <v>1181</v>
      </c>
    </row>
    <row r="3" spans="1:3" x14ac:dyDescent="0.3">
      <c r="A3" s="4" t="s">
        <v>17</v>
      </c>
      <c r="B3" s="4" t="s">
        <v>22</v>
      </c>
      <c r="C3" s="4" t="s">
        <v>14</v>
      </c>
    </row>
    <row r="4" spans="1:3" ht="28.8" x14ac:dyDescent="0.3">
      <c r="B4" s="4" t="s">
        <v>102</v>
      </c>
      <c r="C4" s="4" t="s">
        <v>62</v>
      </c>
    </row>
    <row r="5" spans="1:3" ht="28.8" x14ac:dyDescent="0.3">
      <c r="B5" s="4" t="s">
        <v>45</v>
      </c>
      <c r="C5" s="4" t="s">
        <v>27</v>
      </c>
    </row>
    <row r="6" spans="1:3" x14ac:dyDescent="0.3">
      <c r="B6" s="4" t="s">
        <v>33</v>
      </c>
      <c r="C6" s="4" t="s">
        <v>42</v>
      </c>
    </row>
    <row r="7" spans="1:3" ht="28.8" x14ac:dyDescent="0.3">
      <c r="B7" s="4" t="s">
        <v>39</v>
      </c>
      <c r="C7" s="4" t="s">
        <v>59</v>
      </c>
    </row>
    <row r="8" spans="1:3" ht="28.8" x14ac:dyDescent="0.3">
      <c r="B8" s="4" t="s">
        <v>30</v>
      </c>
      <c r="C8" s="4" t="s">
        <v>23</v>
      </c>
    </row>
    <row r="9" spans="1:3" ht="28.8" x14ac:dyDescent="0.3">
      <c r="B9" s="4" t="s">
        <v>13</v>
      </c>
      <c r="C9" s="4" t="s">
        <v>19</v>
      </c>
    </row>
    <row r="10" spans="1:3" ht="28.8" x14ac:dyDescent="0.3">
      <c r="B10" s="4" t="s">
        <v>18</v>
      </c>
    </row>
    <row r="11" spans="1:3" ht="28.8" x14ac:dyDescent="0.3">
      <c r="B11" s="4" t="s">
        <v>26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15246-B27F-43CF-8773-4C6EF333E9BD}">
  <dimension ref="A1:K1001"/>
  <sheetViews>
    <sheetView workbookViewId="0">
      <pane ySplit="1" topLeftCell="A2" activePane="bottomLeft" state="frozen"/>
      <selection pane="bottomLeft" activeCell="J14" sqref="J14"/>
    </sheetView>
  </sheetViews>
  <sheetFormatPr defaultRowHeight="14.4" x14ac:dyDescent="0.3"/>
  <cols>
    <col min="1" max="1" width="11.109375" customWidth="1"/>
    <col min="2" max="2" width="13.21875" bestFit="1" customWidth="1"/>
    <col min="3" max="3" width="6.44140625" bestFit="1" customWidth="1"/>
    <col min="4" max="4" width="9.33203125" bestFit="1" customWidth="1"/>
    <col min="5" max="5" width="12.21875" bestFit="1" customWidth="1"/>
    <col min="6" max="6" width="10" bestFit="1" customWidth="1"/>
    <col min="7" max="7" width="16.33203125" style="5" bestFit="1" customWidth="1"/>
    <col min="8" max="8" width="16.33203125" style="5" customWidth="1"/>
    <col min="9" max="9" width="15.77734375" style="5" bestFit="1" customWidth="1"/>
    <col min="10" max="10" width="11.33203125" style="7" bestFit="1" customWidth="1"/>
    <col min="11" max="11" width="11.88671875" style="6" bestFit="1" customWidth="1"/>
  </cols>
  <sheetData>
    <row r="1" spans="1:11" x14ac:dyDescent="0.3">
      <c r="A1" t="s">
        <v>0</v>
      </c>
      <c r="B1" t="s">
        <v>1</v>
      </c>
      <c r="C1" t="s">
        <v>2</v>
      </c>
      <c r="D1" t="s">
        <v>3</v>
      </c>
      <c r="E1" t="s">
        <v>4</v>
      </c>
      <c r="F1" t="s">
        <v>5</v>
      </c>
      <c r="G1" s="5" t="s">
        <v>6</v>
      </c>
      <c r="H1" s="5" t="s">
        <v>1182</v>
      </c>
      <c r="I1" s="5" t="s">
        <v>7</v>
      </c>
      <c r="J1" s="7" t="s">
        <v>8</v>
      </c>
      <c r="K1" s="6" t="s">
        <v>9</v>
      </c>
    </row>
    <row r="2" spans="1:11" x14ac:dyDescent="0.3">
      <c r="A2" t="s">
        <v>10</v>
      </c>
      <c r="B2" t="s">
        <v>11</v>
      </c>
      <c r="C2">
        <v>56</v>
      </c>
      <c r="D2" t="s">
        <v>12</v>
      </c>
      <c r="E2" t="s">
        <v>13</v>
      </c>
      <c r="F2" t="s">
        <v>14</v>
      </c>
      <c r="G2" s="5">
        <v>45994</v>
      </c>
      <c r="H2" s="2" t="str">
        <f t="shared" ref="H2:H65" si="0">TEXT(G2,"mmmm")</f>
        <v>December</v>
      </c>
      <c r="I2" s="5">
        <v>45997</v>
      </c>
      <c r="J2" s="7">
        <f>I2-G2</f>
        <v>3</v>
      </c>
      <c r="K2" s="6">
        <v>17019</v>
      </c>
    </row>
    <row r="3" spans="1:11" x14ac:dyDescent="0.3">
      <c r="A3" t="s">
        <v>15</v>
      </c>
      <c r="B3" t="s">
        <v>16</v>
      </c>
      <c r="C3">
        <v>42</v>
      </c>
      <c r="D3" t="s">
        <v>17</v>
      </c>
      <c r="E3" t="s">
        <v>18</v>
      </c>
      <c r="F3" t="s">
        <v>19</v>
      </c>
      <c r="G3" s="5">
        <v>45668</v>
      </c>
      <c r="H3" t="str">
        <f t="shared" si="0"/>
        <v>January</v>
      </c>
      <c r="I3" s="5">
        <v>45676</v>
      </c>
      <c r="J3" s="7">
        <f t="shared" ref="J3:J66" si="1">I3-G3</f>
        <v>8</v>
      </c>
      <c r="K3" s="6">
        <v>32528</v>
      </c>
    </row>
    <row r="4" spans="1:11" x14ac:dyDescent="0.3">
      <c r="A4" t="s">
        <v>20</v>
      </c>
      <c r="B4" t="s">
        <v>21</v>
      </c>
      <c r="C4">
        <v>28</v>
      </c>
      <c r="D4" t="s">
        <v>12</v>
      </c>
      <c r="E4" t="s">
        <v>22</v>
      </c>
      <c r="F4" t="s">
        <v>23</v>
      </c>
      <c r="G4" s="5">
        <v>45923</v>
      </c>
      <c r="H4" t="str">
        <f t="shared" si="0"/>
        <v>September</v>
      </c>
      <c r="I4" s="5">
        <v>45936</v>
      </c>
      <c r="J4" s="7">
        <f t="shared" si="1"/>
        <v>13</v>
      </c>
      <c r="K4" s="6">
        <v>116493</v>
      </c>
    </row>
    <row r="5" spans="1:11" x14ac:dyDescent="0.3">
      <c r="A5" t="s">
        <v>24</v>
      </c>
      <c r="B5" t="s">
        <v>25</v>
      </c>
      <c r="C5">
        <v>2</v>
      </c>
      <c r="D5" t="s">
        <v>17</v>
      </c>
      <c r="E5" t="s">
        <v>26</v>
      </c>
      <c r="F5" t="s">
        <v>27</v>
      </c>
      <c r="G5" s="5">
        <v>45695</v>
      </c>
      <c r="H5" t="str">
        <f t="shared" si="0"/>
        <v>February</v>
      </c>
      <c r="I5" s="5">
        <v>45698</v>
      </c>
      <c r="J5" s="7">
        <f t="shared" si="1"/>
        <v>3</v>
      </c>
      <c r="K5" s="6">
        <v>21084</v>
      </c>
    </row>
    <row r="6" spans="1:11" x14ac:dyDescent="0.3">
      <c r="A6" t="s">
        <v>28</v>
      </c>
      <c r="B6" t="s">
        <v>29</v>
      </c>
      <c r="C6">
        <v>25</v>
      </c>
      <c r="D6" t="s">
        <v>17</v>
      </c>
      <c r="E6" t="s">
        <v>30</v>
      </c>
      <c r="F6" t="s">
        <v>23</v>
      </c>
      <c r="G6" s="5">
        <v>45718</v>
      </c>
      <c r="H6" t="str">
        <f t="shared" si="0"/>
        <v>March</v>
      </c>
      <c r="I6" s="5">
        <v>45722</v>
      </c>
      <c r="J6" s="7">
        <f t="shared" si="1"/>
        <v>4</v>
      </c>
      <c r="K6" s="6">
        <v>47036</v>
      </c>
    </row>
    <row r="7" spans="1:11" x14ac:dyDescent="0.3">
      <c r="A7" t="s">
        <v>31</v>
      </c>
      <c r="B7" t="s">
        <v>32</v>
      </c>
      <c r="C7">
        <v>9</v>
      </c>
      <c r="D7" t="s">
        <v>17</v>
      </c>
      <c r="E7" t="s">
        <v>33</v>
      </c>
      <c r="F7" t="s">
        <v>34</v>
      </c>
      <c r="G7" s="5">
        <v>45752</v>
      </c>
      <c r="H7" t="str">
        <f t="shared" si="0"/>
        <v>April</v>
      </c>
      <c r="I7" s="5">
        <v>45759</v>
      </c>
      <c r="J7" s="7">
        <f t="shared" si="1"/>
        <v>7</v>
      </c>
      <c r="K7" s="6">
        <v>78869</v>
      </c>
    </row>
    <row r="8" spans="1:11" x14ac:dyDescent="0.3">
      <c r="A8" t="s">
        <v>35</v>
      </c>
      <c r="B8" t="s">
        <v>36</v>
      </c>
      <c r="C8">
        <v>4</v>
      </c>
      <c r="D8" t="s">
        <v>17</v>
      </c>
      <c r="E8" t="s">
        <v>26</v>
      </c>
      <c r="F8" t="s">
        <v>34</v>
      </c>
      <c r="G8" s="5">
        <v>45796</v>
      </c>
      <c r="H8" t="str">
        <f t="shared" si="0"/>
        <v>May</v>
      </c>
      <c r="I8" s="5">
        <v>45802</v>
      </c>
      <c r="J8" s="7">
        <f t="shared" si="1"/>
        <v>6</v>
      </c>
      <c r="K8" s="6">
        <v>54540</v>
      </c>
    </row>
    <row r="9" spans="1:11" x14ac:dyDescent="0.3">
      <c r="A9" t="s">
        <v>37</v>
      </c>
      <c r="B9" t="s">
        <v>38</v>
      </c>
      <c r="C9">
        <v>67</v>
      </c>
      <c r="D9" t="s">
        <v>17</v>
      </c>
      <c r="E9" t="s">
        <v>39</v>
      </c>
      <c r="F9" t="s">
        <v>14</v>
      </c>
      <c r="G9" s="5">
        <v>45754</v>
      </c>
      <c r="H9" t="str">
        <f t="shared" si="0"/>
        <v>April</v>
      </c>
      <c r="I9" s="5">
        <v>45762</v>
      </c>
      <c r="J9" s="7">
        <f t="shared" si="1"/>
        <v>8</v>
      </c>
      <c r="K9" s="6">
        <v>50416</v>
      </c>
    </row>
    <row r="10" spans="1:11" x14ac:dyDescent="0.3">
      <c r="A10" t="s">
        <v>40</v>
      </c>
      <c r="B10" t="s">
        <v>41</v>
      </c>
      <c r="C10">
        <v>11</v>
      </c>
      <c r="D10" t="s">
        <v>12</v>
      </c>
      <c r="E10" t="s">
        <v>39</v>
      </c>
      <c r="F10" t="s">
        <v>42</v>
      </c>
      <c r="G10" s="5">
        <v>45710</v>
      </c>
      <c r="H10" t="str">
        <f t="shared" si="0"/>
        <v>February</v>
      </c>
      <c r="I10" s="5">
        <v>45713</v>
      </c>
      <c r="J10" s="7">
        <f t="shared" si="1"/>
        <v>3</v>
      </c>
      <c r="K10" s="6">
        <v>23016</v>
      </c>
    </row>
    <row r="11" spans="1:11" x14ac:dyDescent="0.3">
      <c r="A11" t="s">
        <v>43</v>
      </c>
      <c r="B11" t="s">
        <v>44</v>
      </c>
      <c r="C11">
        <v>31</v>
      </c>
      <c r="D11" t="s">
        <v>12</v>
      </c>
      <c r="E11" t="s">
        <v>45</v>
      </c>
      <c r="F11" t="s">
        <v>42</v>
      </c>
      <c r="G11" s="5">
        <v>45810</v>
      </c>
      <c r="H11" t="str">
        <f t="shared" si="0"/>
        <v>June</v>
      </c>
      <c r="I11" s="5">
        <v>45821</v>
      </c>
      <c r="J11" s="7">
        <f t="shared" si="1"/>
        <v>11</v>
      </c>
      <c r="K11" s="6">
        <v>72424</v>
      </c>
    </row>
    <row r="12" spans="1:11" x14ac:dyDescent="0.3">
      <c r="A12" t="s">
        <v>46</v>
      </c>
      <c r="B12" t="s">
        <v>47</v>
      </c>
      <c r="C12">
        <v>87</v>
      </c>
      <c r="D12" t="s">
        <v>17</v>
      </c>
      <c r="E12" t="s">
        <v>48</v>
      </c>
      <c r="F12" t="s">
        <v>42</v>
      </c>
      <c r="G12" s="5">
        <v>45803</v>
      </c>
      <c r="H12" t="str">
        <f t="shared" si="0"/>
        <v>May</v>
      </c>
      <c r="I12" s="5">
        <v>45809</v>
      </c>
      <c r="J12" s="7">
        <f t="shared" si="1"/>
        <v>6</v>
      </c>
      <c r="K12" s="6">
        <v>65796</v>
      </c>
    </row>
    <row r="13" spans="1:11" x14ac:dyDescent="0.3">
      <c r="A13" t="s">
        <v>49</v>
      </c>
      <c r="B13" t="s">
        <v>50</v>
      </c>
      <c r="C13">
        <v>88</v>
      </c>
      <c r="D13" t="s">
        <v>17</v>
      </c>
      <c r="E13" t="s">
        <v>33</v>
      </c>
      <c r="F13" t="s">
        <v>19</v>
      </c>
      <c r="G13" s="5">
        <v>45684</v>
      </c>
      <c r="H13" t="str">
        <f t="shared" si="0"/>
        <v>January</v>
      </c>
      <c r="I13" s="5">
        <v>45685</v>
      </c>
      <c r="J13" s="7">
        <f t="shared" si="1"/>
        <v>1</v>
      </c>
      <c r="K13" s="6">
        <v>9441</v>
      </c>
    </row>
    <row r="14" spans="1:11" x14ac:dyDescent="0.3">
      <c r="A14" t="s">
        <v>51</v>
      </c>
      <c r="B14" t="s">
        <v>52</v>
      </c>
      <c r="C14">
        <v>73</v>
      </c>
      <c r="D14" t="s">
        <v>12</v>
      </c>
      <c r="E14" t="s">
        <v>39</v>
      </c>
      <c r="F14" t="s">
        <v>27</v>
      </c>
      <c r="G14" s="5">
        <v>45909</v>
      </c>
      <c r="H14" t="str">
        <f t="shared" si="0"/>
        <v>September</v>
      </c>
      <c r="I14" s="5">
        <v>45910</v>
      </c>
      <c r="J14" s="7">
        <f t="shared" si="1"/>
        <v>1</v>
      </c>
      <c r="K14" s="6">
        <v>8055</v>
      </c>
    </row>
    <row r="15" spans="1:11" x14ac:dyDescent="0.3">
      <c r="A15" t="s">
        <v>53</v>
      </c>
      <c r="B15" t="s">
        <v>54</v>
      </c>
      <c r="C15">
        <v>25</v>
      </c>
      <c r="D15" t="s">
        <v>12</v>
      </c>
      <c r="E15" t="s">
        <v>45</v>
      </c>
      <c r="F15" t="s">
        <v>34</v>
      </c>
      <c r="G15" s="5">
        <v>45875</v>
      </c>
      <c r="H15" t="str">
        <f t="shared" si="0"/>
        <v>August</v>
      </c>
      <c r="I15" s="5">
        <v>45876</v>
      </c>
      <c r="J15" s="7">
        <f t="shared" si="1"/>
        <v>1</v>
      </c>
      <c r="K15" s="6">
        <v>4070</v>
      </c>
    </row>
    <row r="16" spans="1:11" x14ac:dyDescent="0.3">
      <c r="A16" t="s">
        <v>55</v>
      </c>
      <c r="B16" t="s">
        <v>56</v>
      </c>
      <c r="C16">
        <v>28</v>
      </c>
      <c r="D16" t="s">
        <v>12</v>
      </c>
      <c r="E16" t="s">
        <v>39</v>
      </c>
      <c r="F16" t="s">
        <v>34</v>
      </c>
      <c r="G16" s="5">
        <v>45890</v>
      </c>
      <c r="H16" t="str">
        <f t="shared" si="0"/>
        <v>August</v>
      </c>
      <c r="I16" s="5">
        <v>45902</v>
      </c>
      <c r="J16" s="7">
        <f t="shared" si="1"/>
        <v>12</v>
      </c>
      <c r="K16" s="6">
        <v>100296</v>
      </c>
    </row>
    <row r="17" spans="1:11" x14ac:dyDescent="0.3">
      <c r="A17" t="s">
        <v>57</v>
      </c>
      <c r="B17" t="s">
        <v>58</v>
      </c>
      <c r="C17">
        <v>20</v>
      </c>
      <c r="D17" t="s">
        <v>12</v>
      </c>
      <c r="E17" t="s">
        <v>18</v>
      </c>
      <c r="F17" t="s">
        <v>59</v>
      </c>
      <c r="G17" s="5">
        <v>45968</v>
      </c>
      <c r="H17" t="str">
        <f t="shared" si="0"/>
        <v>November</v>
      </c>
      <c r="I17" s="5">
        <v>45971</v>
      </c>
      <c r="J17" s="7">
        <f t="shared" si="1"/>
        <v>3</v>
      </c>
      <c r="K17" s="6">
        <v>30669</v>
      </c>
    </row>
    <row r="18" spans="1:11" x14ac:dyDescent="0.3">
      <c r="A18" t="s">
        <v>60</v>
      </c>
      <c r="B18" t="s">
        <v>61</v>
      </c>
      <c r="C18">
        <v>3</v>
      </c>
      <c r="D18" t="s">
        <v>17</v>
      </c>
      <c r="E18" t="s">
        <v>33</v>
      </c>
      <c r="F18" t="s">
        <v>62</v>
      </c>
      <c r="G18" s="5">
        <v>45799</v>
      </c>
      <c r="H18" t="str">
        <f t="shared" si="0"/>
        <v>May</v>
      </c>
      <c r="I18" s="5">
        <v>45807</v>
      </c>
      <c r="J18" s="7">
        <f t="shared" si="1"/>
        <v>8</v>
      </c>
      <c r="K18" s="6">
        <v>35360</v>
      </c>
    </row>
    <row r="19" spans="1:11" x14ac:dyDescent="0.3">
      <c r="A19" t="s">
        <v>63</v>
      </c>
      <c r="B19" t="s">
        <v>64</v>
      </c>
      <c r="C19">
        <v>30</v>
      </c>
      <c r="D19" t="s">
        <v>12</v>
      </c>
      <c r="E19" t="s">
        <v>48</v>
      </c>
      <c r="F19" t="s">
        <v>42</v>
      </c>
      <c r="G19" s="5">
        <v>45854</v>
      </c>
      <c r="H19" t="str">
        <f t="shared" si="0"/>
        <v>July</v>
      </c>
      <c r="I19" s="5">
        <v>45861</v>
      </c>
      <c r="J19" s="7">
        <f t="shared" si="1"/>
        <v>7</v>
      </c>
      <c r="K19" s="6">
        <v>72527</v>
      </c>
    </row>
    <row r="20" spans="1:11" x14ac:dyDescent="0.3">
      <c r="A20" t="s">
        <v>65</v>
      </c>
      <c r="B20" t="s">
        <v>66</v>
      </c>
      <c r="C20">
        <v>24</v>
      </c>
      <c r="D20" t="s">
        <v>17</v>
      </c>
      <c r="E20" t="s">
        <v>48</v>
      </c>
      <c r="F20" t="s">
        <v>23</v>
      </c>
      <c r="G20" s="5">
        <v>45858</v>
      </c>
      <c r="H20" t="str">
        <f t="shared" si="0"/>
        <v>July</v>
      </c>
      <c r="I20" s="5">
        <v>45871</v>
      </c>
      <c r="J20" s="7">
        <f t="shared" si="1"/>
        <v>13</v>
      </c>
      <c r="K20" s="6">
        <v>140725</v>
      </c>
    </row>
    <row r="21" spans="1:11" x14ac:dyDescent="0.3">
      <c r="A21" t="s">
        <v>67</v>
      </c>
      <c r="B21" t="s">
        <v>68</v>
      </c>
      <c r="C21">
        <v>23</v>
      </c>
      <c r="D21" t="s">
        <v>12</v>
      </c>
      <c r="E21" t="s">
        <v>13</v>
      </c>
      <c r="F21" t="s">
        <v>19</v>
      </c>
      <c r="G21" s="5">
        <v>45868</v>
      </c>
      <c r="H21" t="str">
        <f t="shared" si="0"/>
        <v>July</v>
      </c>
      <c r="I21" s="5">
        <v>45880</v>
      </c>
      <c r="J21" s="7">
        <f t="shared" si="1"/>
        <v>12</v>
      </c>
      <c r="K21" s="6">
        <v>133740</v>
      </c>
    </row>
    <row r="22" spans="1:11" x14ac:dyDescent="0.3">
      <c r="A22" t="s">
        <v>69</v>
      </c>
      <c r="B22" t="s">
        <v>70</v>
      </c>
      <c r="C22">
        <v>22</v>
      </c>
      <c r="D22" t="s">
        <v>17</v>
      </c>
      <c r="E22" t="s">
        <v>45</v>
      </c>
      <c r="F22" t="s">
        <v>34</v>
      </c>
      <c r="G22" s="5">
        <v>45930</v>
      </c>
      <c r="H22" t="str">
        <f t="shared" si="0"/>
        <v>September</v>
      </c>
      <c r="I22" s="5">
        <v>45935</v>
      </c>
      <c r="J22" s="7">
        <f t="shared" si="1"/>
        <v>5</v>
      </c>
      <c r="K22" s="6">
        <v>45900</v>
      </c>
    </row>
    <row r="23" spans="1:11" x14ac:dyDescent="0.3">
      <c r="A23" t="s">
        <v>71</v>
      </c>
      <c r="B23" t="s">
        <v>72</v>
      </c>
      <c r="C23">
        <v>48</v>
      </c>
      <c r="D23" t="s">
        <v>17</v>
      </c>
      <c r="E23" t="s">
        <v>26</v>
      </c>
      <c r="F23" t="s">
        <v>19</v>
      </c>
      <c r="G23" s="5">
        <v>45951</v>
      </c>
      <c r="H23" t="str">
        <f t="shared" si="0"/>
        <v>October</v>
      </c>
      <c r="I23" s="5">
        <v>45954</v>
      </c>
      <c r="J23" s="7">
        <f t="shared" si="1"/>
        <v>3</v>
      </c>
      <c r="K23" s="6">
        <v>28968</v>
      </c>
    </row>
    <row r="24" spans="1:11" x14ac:dyDescent="0.3">
      <c r="A24" t="s">
        <v>73</v>
      </c>
      <c r="B24" t="s">
        <v>74</v>
      </c>
      <c r="C24">
        <v>59</v>
      </c>
      <c r="D24" t="s">
        <v>17</v>
      </c>
      <c r="E24" t="s">
        <v>26</v>
      </c>
      <c r="F24" t="s">
        <v>14</v>
      </c>
      <c r="G24" s="5">
        <v>45919</v>
      </c>
      <c r="H24" t="str">
        <f t="shared" si="0"/>
        <v>September</v>
      </c>
      <c r="I24" s="5">
        <v>45932</v>
      </c>
      <c r="J24" s="7">
        <f t="shared" si="1"/>
        <v>13</v>
      </c>
      <c r="K24" s="6">
        <v>137761</v>
      </c>
    </row>
    <row r="25" spans="1:11" x14ac:dyDescent="0.3">
      <c r="A25" t="s">
        <v>75</v>
      </c>
      <c r="B25" t="s">
        <v>76</v>
      </c>
      <c r="C25">
        <v>6</v>
      </c>
      <c r="D25" t="s">
        <v>17</v>
      </c>
      <c r="E25" t="s">
        <v>30</v>
      </c>
      <c r="F25" t="s">
        <v>42</v>
      </c>
      <c r="G25" s="5">
        <v>45988</v>
      </c>
      <c r="H25" t="str">
        <f t="shared" si="0"/>
        <v>November</v>
      </c>
      <c r="I25" s="5">
        <v>45994</v>
      </c>
      <c r="J25" s="7">
        <f t="shared" si="1"/>
        <v>6</v>
      </c>
      <c r="K25" s="6">
        <v>51582</v>
      </c>
    </row>
    <row r="26" spans="1:11" x14ac:dyDescent="0.3">
      <c r="A26" t="s">
        <v>77</v>
      </c>
      <c r="B26" t="s">
        <v>78</v>
      </c>
      <c r="C26">
        <v>88</v>
      </c>
      <c r="D26" t="s">
        <v>12</v>
      </c>
      <c r="E26" t="s">
        <v>45</v>
      </c>
      <c r="F26" t="s">
        <v>27</v>
      </c>
      <c r="G26" s="5">
        <v>45823</v>
      </c>
      <c r="H26" t="str">
        <f t="shared" si="0"/>
        <v>June</v>
      </c>
      <c r="I26" s="5">
        <v>45828</v>
      </c>
      <c r="J26" s="7">
        <f t="shared" si="1"/>
        <v>5</v>
      </c>
      <c r="K26" s="6">
        <v>50795</v>
      </c>
    </row>
    <row r="27" spans="1:11" x14ac:dyDescent="0.3">
      <c r="A27" t="s">
        <v>79</v>
      </c>
      <c r="B27" t="s">
        <v>36</v>
      </c>
      <c r="C27">
        <v>67</v>
      </c>
      <c r="D27" t="s">
        <v>12</v>
      </c>
      <c r="E27" t="s">
        <v>48</v>
      </c>
      <c r="F27" t="s">
        <v>14</v>
      </c>
      <c r="G27" s="5">
        <v>45680</v>
      </c>
      <c r="H27" t="str">
        <f t="shared" si="0"/>
        <v>January</v>
      </c>
      <c r="I27" s="5">
        <v>45688</v>
      </c>
      <c r="J27" s="7">
        <f t="shared" si="1"/>
        <v>8</v>
      </c>
      <c r="K27" s="6">
        <v>49008</v>
      </c>
    </row>
    <row r="28" spans="1:11" x14ac:dyDescent="0.3">
      <c r="A28" t="s">
        <v>80</v>
      </c>
      <c r="B28" t="s">
        <v>16</v>
      </c>
      <c r="C28">
        <v>53</v>
      </c>
      <c r="D28" t="s">
        <v>17</v>
      </c>
      <c r="E28" t="s">
        <v>48</v>
      </c>
      <c r="F28" t="s">
        <v>19</v>
      </c>
      <c r="G28" s="5">
        <v>45739</v>
      </c>
      <c r="H28" t="str">
        <f t="shared" si="0"/>
        <v>March</v>
      </c>
      <c r="I28" s="5">
        <v>45741</v>
      </c>
      <c r="J28" s="7">
        <f t="shared" si="1"/>
        <v>2</v>
      </c>
      <c r="K28" s="6">
        <v>21046</v>
      </c>
    </row>
    <row r="29" spans="1:11" x14ac:dyDescent="0.3">
      <c r="A29" t="s">
        <v>81</v>
      </c>
      <c r="B29" t="s">
        <v>82</v>
      </c>
      <c r="C29">
        <v>28</v>
      </c>
      <c r="D29" t="s">
        <v>17</v>
      </c>
      <c r="E29" t="s">
        <v>48</v>
      </c>
      <c r="F29" t="s">
        <v>23</v>
      </c>
      <c r="G29" s="5">
        <v>45690</v>
      </c>
      <c r="H29" t="str">
        <f t="shared" si="0"/>
        <v>February</v>
      </c>
      <c r="I29" s="5">
        <v>45694</v>
      </c>
      <c r="J29" s="7">
        <f t="shared" si="1"/>
        <v>4</v>
      </c>
      <c r="K29" s="6">
        <v>47856</v>
      </c>
    </row>
    <row r="30" spans="1:11" x14ac:dyDescent="0.3">
      <c r="A30" t="s">
        <v>83</v>
      </c>
      <c r="B30" t="s">
        <v>84</v>
      </c>
      <c r="C30">
        <v>69</v>
      </c>
      <c r="D30" t="s">
        <v>17</v>
      </c>
      <c r="E30" t="s">
        <v>22</v>
      </c>
      <c r="F30" t="s">
        <v>27</v>
      </c>
      <c r="G30" s="5">
        <v>45681</v>
      </c>
      <c r="H30" t="str">
        <f t="shared" si="0"/>
        <v>January</v>
      </c>
      <c r="I30" s="5">
        <v>45686</v>
      </c>
      <c r="J30" s="7">
        <f t="shared" si="1"/>
        <v>5</v>
      </c>
      <c r="K30" s="6">
        <v>32990</v>
      </c>
    </row>
    <row r="31" spans="1:11" x14ac:dyDescent="0.3">
      <c r="A31" t="s">
        <v>85</v>
      </c>
      <c r="B31" t="s">
        <v>86</v>
      </c>
      <c r="C31">
        <v>77</v>
      </c>
      <c r="D31" t="s">
        <v>12</v>
      </c>
      <c r="E31" t="s">
        <v>33</v>
      </c>
      <c r="F31" t="s">
        <v>62</v>
      </c>
      <c r="G31" s="5">
        <v>45903</v>
      </c>
      <c r="H31" t="str">
        <f t="shared" si="0"/>
        <v>September</v>
      </c>
      <c r="I31" s="5">
        <v>45914</v>
      </c>
      <c r="J31" s="7">
        <f t="shared" si="1"/>
        <v>11</v>
      </c>
      <c r="K31" s="6">
        <v>76351</v>
      </c>
    </row>
    <row r="32" spans="1:11" x14ac:dyDescent="0.3">
      <c r="A32" t="s">
        <v>87</v>
      </c>
      <c r="B32" t="s">
        <v>61</v>
      </c>
      <c r="C32">
        <v>83</v>
      </c>
      <c r="D32" t="s">
        <v>12</v>
      </c>
      <c r="E32" t="s">
        <v>48</v>
      </c>
      <c r="F32" t="s">
        <v>34</v>
      </c>
      <c r="G32" s="5">
        <v>45748</v>
      </c>
      <c r="H32" t="str">
        <f t="shared" si="0"/>
        <v>April</v>
      </c>
      <c r="I32" s="5">
        <v>45749</v>
      </c>
      <c r="J32" s="7">
        <f t="shared" si="1"/>
        <v>1</v>
      </c>
      <c r="K32" s="6">
        <v>5290</v>
      </c>
    </row>
    <row r="33" spans="1:11" x14ac:dyDescent="0.3">
      <c r="A33" t="s">
        <v>88</v>
      </c>
      <c r="B33" t="s">
        <v>89</v>
      </c>
      <c r="C33">
        <v>73</v>
      </c>
      <c r="D33" t="s">
        <v>12</v>
      </c>
      <c r="E33" t="s">
        <v>30</v>
      </c>
      <c r="F33" t="s">
        <v>14</v>
      </c>
      <c r="G33" s="5">
        <v>45766</v>
      </c>
      <c r="H33" t="str">
        <f t="shared" si="0"/>
        <v>April</v>
      </c>
      <c r="I33" s="5">
        <v>45771</v>
      </c>
      <c r="J33" s="7">
        <f t="shared" si="1"/>
        <v>5</v>
      </c>
      <c r="K33" s="6">
        <v>29410</v>
      </c>
    </row>
    <row r="34" spans="1:11" x14ac:dyDescent="0.3">
      <c r="A34" t="s">
        <v>90</v>
      </c>
      <c r="B34" t="s">
        <v>91</v>
      </c>
      <c r="C34">
        <v>87</v>
      </c>
      <c r="D34" t="s">
        <v>17</v>
      </c>
      <c r="E34" t="s">
        <v>39</v>
      </c>
      <c r="F34" t="s">
        <v>23</v>
      </c>
      <c r="G34" s="5">
        <v>45904</v>
      </c>
      <c r="H34" t="str">
        <f t="shared" si="0"/>
        <v>September</v>
      </c>
      <c r="I34" s="5">
        <v>45919</v>
      </c>
      <c r="J34" s="7">
        <f t="shared" si="1"/>
        <v>15</v>
      </c>
      <c r="K34" s="6">
        <v>169050</v>
      </c>
    </row>
    <row r="35" spans="1:11" x14ac:dyDescent="0.3">
      <c r="A35" t="s">
        <v>92</v>
      </c>
      <c r="B35" t="s">
        <v>93</v>
      </c>
      <c r="C35">
        <v>36</v>
      </c>
      <c r="D35" t="s">
        <v>12</v>
      </c>
      <c r="E35" t="s">
        <v>33</v>
      </c>
      <c r="F35" t="s">
        <v>23</v>
      </c>
      <c r="G35" s="5">
        <v>45916</v>
      </c>
      <c r="H35" t="str">
        <f t="shared" si="0"/>
        <v>September</v>
      </c>
      <c r="I35" s="5">
        <v>45927</v>
      </c>
      <c r="J35" s="7">
        <f t="shared" si="1"/>
        <v>11</v>
      </c>
      <c r="K35" s="6">
        <v>83446</v>
      </c>
    </row>
    <row r="36" spans="1:11" x14ac:dyDescent="0.3">
      <c r="A36" t="s">
        <v>94</v>
      </c>
      <c r="B36" t="s">
        <v>41</v>
      </c>
      <c r="C36">
        <v>35</v>
      </c>
      <c r="D36" t="s">
        <v>17</v>
      </c>
      <c r="E36" t="s">
        <v>26</v>
      </c>
      <c r="F36" t="s">
        <v>27</v>
      </c>
      <c r="G36" s="5">
        <v>45971</v>
      </c>
      <c r="H36" t="str">
        <f t="shared" si="0"/>
        <v>November</v>
      </c>
      <c r="I36" s="5">
        <v>45986</v>
      </c>
      <c r="J36" s="7">
        <f t="shared" si="1"/>
        <v>15</v>
      </c>
      <c r="K36" s="6">
        <v>161385</v>
      </c>
    </row>
    <row r="37" spans="1:11" x14ac:dyDescent="0.3">
      <c r="A37" t="s">
        <v>95</v>
      </c>
      <c r="B37" t="s">
        <v>96</v>
      </c>
      <c r="C37">
        <v>60</v>
      </c>
      <c r="D37" t="s">
        <v>12</v>
      </c>
      <c r="E37" t="s">
        <v>48</v>
      </c>
      <c r="F37" t="s">
        <v>14</v>
      </c>
      <c r="G37" s="5">
        <v>45888</v>
      </c>
      <c r="H37" t="str">
        <f t="shared" si="0"/>
        <v>August</v>
      </c>
      <c r="I37" s="5">
        <v>45892</v>
      </c>
      <c r="J37" s="7">
        <f t="shared" si="1"/>
        <v>4</v>
      </c>
      <c r="K37" s="6">
        <v>36696</v>
      </c>
    </row>
    <row r="38" spans="1:11" x14ac:dyDescent="0.3">
      <c r="A38" t="s">
        <v>97</v>
      </c>
      <c r="B38" t="s">
        <v>98</v>
      </c>
      <c r="C38">
        <v>62</v>
      </c>
      <c r="D38" t="s">
        <v>17</v>
      </c>
      <c r="E38" t="s">
        <v>48</v>
      </c>
      <c r="F38" t="s">
        <v>14</v>
      </c>
      <c r="G38" s="5">
        <v>45669</v>
      </c>
      <c r="H38" t="str">
        <f t="shared" si="0"/>
        <v>January</v>
      </c>
      <c r="I38" s="5">
        <v>45676</v>
      </c>
      <c r="J38" s="7">
        <f t="shared" si="1"/>
        <v>7</v>
      </c>
      <c r="K38" s="6">
        <v>64491</v>
      </c>
    </row>
    <row r="39" spans="1:11" x14ac:dyDescent="0.3">
      <c r="A39" t="s">
        <v>99</v>
      </c>
      <c r="B39" t="s">
        <v>100</v>
      </c>
      <c r="C39">
        <v>79</v>
      </c>
      <c r="D39" t="s">
        <v>17</v>
      </c>
      <c r="E39" t="s">
        <v>18</v>
      </c>
      <c r="F39" t="s">
        <v>34</v>
      </c>
      <c r="G39" s="5">
        <v>45767</v>
      </c>
      <c r="H39" t="str">
        <f t="shared" si="0"/>
        <v>April</v>
      </c>
      <c r="I39" s="5">
        <v>45769</v>
      </c>
      <c r="J39" s="7">
        <f t="shared" si="1"/>
        <v>2</v>
      </c>
      <c r="K39" s="6">
        <v>22200</v>
      </c>
    </row>
    <row r="40" spans="1:11" x14ac:dyDescent="0.3">
      <c r="A40" t="s">
        <v>101</v>
      </c>
      <c r="B40" t="s">
        <v>89</v>
      </c>
      <c r="C40">
        <v>90</v>
      </c>
      <c r="D40" t="s">
        <v>12</v>
      </c>
      <c r="E40" t="s">
        <v>102</v>
      </c>
      <c r="F40" t="s">
        <v>59</v>
      </c>
      <c r="G40" s="5">
        <v>46010</v>
      </c>
      <c r="H40" t="str">
        <f t="shared" si="0"/>
        <v>December</v>
      </c>
      <c r="I40" s="5">
        <v>46011</v>
      </c>
      <c r="J40" s="7">
        <f t="shared" si="1"/>
        <v>1</v>
      </c>
      <c r="K40" s="6">
        <v>7198</v>
      </c>
    </row>
    <row r="41" spans="1:11" x14ac:dyDescent="0.3">
      <c r="A41" t="s">
        <v>103</v>
      </c>
      <c r="B41" t="s">
        <v>104</v>
      </c>
      <c r="C41">
        <v>8</v>
      </c>
      <c r="D41" t="s">
        <v>17</v>
      </c>
      <c r="E41" t="s">
        <v>22</v>
      </c>
      <c r="F41" t="s">
        <v>42</v>
      </c>
      <c r="G41" s="5">
        <v>45886</v>
      </c>
      <c r="H41" t="str">
        <f t="shared" si="0"/>
        <v>August</v>
      </c>
      <c r="I41" s="5">
        <v>45896</v>
      </c>
      <c r="J41" s="7">
        <f t="shared" si="1"/>
        <v>10</v>
      </c>
      <c r="K41" s="6">
        <v>116070</v>
      </c>
    </row>
    <row r="42" spans="1:11" x14ac:dyDescent="0.3">
      <c r="A42" t="s">
        <v>105</v>
      </c>
      <c r="B42" t="s">
        <v>70</v>
      </c>
      <c r="C42">
        <v>81</v>
      </c>
      <c r="D42" t="s">
        <v>17</v>
      </c>
      <c r="E42" t="s">
        <v>26</v>
      </c>
      <c r="F42" t="s">
        <v>34</v>
      </c>
      <c r="G42" s="5">
        <v>45685</v>
      </c>
      <c r="H42" t="str">
        <f t="shared" si="0"/>
        <v>January</v>
      </c>
      <c r="I42" s="5">
        <v>45690</v>
      </c>
      <c r="J42" s="7">
        <f t="shared" si="1"/>
        <v>5</v>
      </c>
      <c r="K42" s="6">
        <v>45295</v>
      </c>
    </row>
    <row r="43" spans="1:11" x14ac:dyDescent="0.3">
      <c r="A43" t="s">
        <v>106</v>
      </c>
      <c r="B43" t="s">
        <v>107</v>
      </c>
      <c r="C43">
        <v>61</v>
      </c>
      <c r="D43" t="s">
        <v>12</v>
      </c>
      <c r="E43" t="s">
        <v>45</v>
      </c>
      <c r="F43" t="s">
        <v>42</v>
      </c>
      <c r="G43" s="5">
        <v>45667</v>
      </c>
      <c r="H43" t="str">
        <f t="shared" si="0"/>
        <v>January</v>
      </c>
      <c r="I43" s="5">
        <v>45673</v>
      </c>
      <c r="J43" s="7">
        <f t="shared" si="1"/>
        <v>6</v>
      </c>
      <c r="K43" s="6">
        <v>46962</v>
      </c>
    </row>
    <row r="44" spans="1:11" x14ac:dyDescent="0.3">
      <c r="A44" t="s">
        <v>108</v>
      </c>
      <c r="B44" t="s">
        <v>109</v>
      </c>
      <c r="C44">
        <v>10</v>
      </c>
      <c r="D44" t="s">
        <v>17</v>
      </c>
      <c r="E44" t="s">
        <v>22</v>
      </c>
      <c r="F44" t="s">
        <v>34</v>
      </c>
      <c r="G44" s="5">
        <v>45835</v>
      </c>
      <c r="H44" t="str">
        <f t="shared" si="0"/>
        <v>June</v>
      </c>
      <c r="I44" s="5">
        <v>45846</v>
      </c>
      <c r="J44" s="7">
        <f t="shared" si="1"/>
        <v>11</v>
      </c>
      <c r="K44" s="6">
        <v>58355</v>
      </c>
    </row>
    <row r="45" spans="1:11" x14ac:dyDescent="0.3">
      <c r="A45" t="s">
        <v>110</v>
      </c>
      <c r="B45" t="s">
        <v>64</v>
      </c>
      <c r="C45">
        <v>68</v>
      </c>
      <c r="D45" t="s">
        <v>17</v>
      </c>
      <c r="E45" t="s">
        <v>102</v>
      </c>
      <c r="F45" t="s">
        <v>27</v>
      </c>
      <c r="G45" s="5">
        <v>45865</v>
      </c>
      <c r="H45" t="str">
        <f t="shared" si="0"/>
        <v>July</v>
      </c>
      <c r="I45" s="5">
        <v>45869</v>
      </c>
      <c r="J45" s="7">
        <f t="shared" si="1"/>
        <v>4</v>
      </c>
      <c r="K45" s="6">
        <v>36504</v>
      </c>
    </row>
    <row r="46" spans="1:11" x14ac:dyDescent="0.3">
      <c r="A46" t="s">
        <v>111</v>
      </c>
      <c r="B46" t="s">
        <v>112</v>
      </c>
      <c r="C46">
        <v>21</v>
      </c>
      <c r="D46" t="s">
        <v>12</v>
      </c>
      <c r="E46" t="s">
        <v>39</v>
      </c>
      <c r="F46" t="s">
        <v>27</v>
      </c>
      <c r="G46" s="5">
        <v>45975</v>
      </c>
      <c r="H46" t="str">
        <f t="shared" si="0"/>
        <v>November</v>
      </c>
      <c r="I46" s="5">
        <v>45979</v>
      </c>
      <c r="J46" s="7">
        <f t="shared" si="1"/>
        <v>4</v>
      </c>
      <c r="K46" s="6">
        <v>16600</v>
      </c>
    </row>
    <row r="47" spans="1:11" x14ac:dyDescent="0.3">
      <c r="A47" t="s">
        <v>113</v>
      </c>
      <c r="B47" t="s">
        <v>114</v>
      </c>
      <c r="C47">
        <v>34</v>
      </c>
      <c r="D47" t="s">
        <v>17</v>
      </c>
      <c r="E47" t="s">
        <v>33</v>
      </c>
      <c r="F47" t="s">
        <v>34</v>
      </c>
      <c r="G47" s="5">
        <v>45704</v>
      </c>
      <c r="H47" t="str">
        <f t="shared" si="0"/>
        <v>February</v>
      </c>
      <c r="I47" s="5">
        <v>45711</v>
      </c>
      <c r="J47" s="7">
        <f t="shared" si="1"/>
        <v>7</v>
      </c>
      <c r="K47" s="6">
        <v>78148</v>
      </c>
    </row>
    <row r="48" spans="1:11" x14ac:dyDescent="0.3">
      <c r="A48" t="s">
        <v>115</v>
      </c>
      <c r="B48" t="s">
        <v>116</v>
      </c>
      <c r="C48">
        <v>22</v>
      </c>
      <c r="D48" t="s">
        <v>12</v>
      </c>
      <c r="E48" t="s">
        <v>33</v>
      </c>
      <c r="F48" t="s">
        <v>62</v>
      </c>
      <c r="G48" s="5">
        <v>45801</v>
      </c>
      <c r="H48" t="str">
        <f t="shared" si="0"/>
        <v>May</v>
      </c>
      <c r="I48" s="5">
        <v>45809</v>
      </c>
      <c r="J48" s="7">
        <f t="shared" si="1"/>
        <v>8</v>
      </c>
      <c r="K48" s="6">
        <v>41192</v>
      </c>
    </row>
    <row r="49" spans="1:11" x14ac:dyDescent="0.3">
      <c r="A49" t="s">
        <v>117</v>
      </c>
      <c r="B49" t="s">
        <v>118</v>
      </c>
      <c r="C49">
        <v>71</v>
      </c>
      <c r="D49" t="s">
        <v>17</v>
      </c>
      <c r="E49" t="s">
        <v>26</v>
      </c>
      <c r="F49" t="s">
        <v>19</v>
      </c>
      <c r="G49" s="5">
        <v>45898</v>
      </c>
      <c r="H49" t="str">
        <f t="shared" si="0"/>
        <v>August</v>
      </c>
      <c r="I49" s="5">
        <v>45912</v>
      </c>
      <c r="J49" s="7">
        <f t="shared" si="1"/>
        <v>14</v>
      </c>
      <c r="K49" s="6">
        <v>65142</v>
      </c>
    </row>
    <row r="50" spans="1:11" x14ac:dyDescent="0.3">
      <c r="A50" t="s">
        <v>119</v>
      </c>
      <c r="B50" t="s">
        <v>120</v>
      </c>
      <c r="C50">
        <v>28</v>
      </c>
      <c r="D50" t="s">
        <v>17</v>
      </c>
      <c r="E50" t="s">
        <v>30</v>
      </c>
      <c r="F50" t="s">
        <v>14</v>
      </c>
      <c r="G50" s="5">
        <v>45665</v>
      </c>
      <c r="H50" t="str">
        <f t="shared" si="0"/>
        <v>January</v>
      </c>
      <c r="I50" s="5">
        <v>45667</v>
      </c>
      <c r="J50" s="7">
        <f t="shared" si="1"/>
        <v>2</v>
      </c>
      <c r="K50" s="6">
        <v>8162</v>
      </c>
    </row>
    <row r="51" spans="1:11" x14ac:dyDescent="0.3">
      <c r="A51" t="s">
        <v>121</v>
      </c>
      <c r="B51" t="s">
        <v>78</v>
      </c>
      <c r="C51">
        <v>40</v>
      </c>
      <c r="D51" t="s">
        <v>17</v>
      </c>
      <c r="E51" t="s">
        <v>18</v>
      </c>
      <c r="F51" t="s">
        <v>42</v>
      </c>
      <c r="G51" s="5">
        <v>45995</v>
      </c>
      <c r="H51" t="str">
        <f t="shared" si="0"/>
        <v>December</v>
      </c>
      <c r="I51" s="5">
        <v>45999</v>
      </c>
      <c r="J51" s="7">
        <f t="shared" si="1"/>
        <v>4</v>
      </c>
      <c r="K51" s="6">
        <v>24028</v>
      </c>
    </row>
    <row r="52" spans="1:11" x14ac:dyDescent="0.3">
      <c r="A52" t="s">
        <v>122</v>
      </c>
      <c r="B52" t="s">
        <v>123</v>
      </c>
      <c r="C52">
        <v>75</v>
      </c>
      <c r="D52" t="s">
        <v>17</v>
      </c>
      <c r="E52" t="s">
        <v>45</v>
      </c>
      <c r="F52" t="s">
        <v>34</v>
      </c>
      <c r="G52" s="5">
        <v>45922</v>
      </c>
      <c r="H52" t="str">
        <f t="shared" si="0"/>
        <v>September</v>
      </c>
      <c r="I52" s="5">
        <v>45925</v>
      </c>
      <c r="J52" s="7">
        <f t="shared" si="1"/>
        <v>3</v>
      </c>
      <c r="K52" s="6">
        <v>33387</v>
      </c>
    </row>
    <row r="53" spans="1:11" x14ac:dyDescent="0.3">
      <c r="A53" t="s">
        <v>124</v>
      </c>
      <c r="B53" t="s">
        <v>125</v>
      </c>
      <c r="C53">
        <v>39</v>
      </c>
      <c r="D53" t="s">
        <v>17</v>
      </c>
      <c r="E53" t="s">
        <v>26</v>
      </c>
      <c r="F53" t="s">
        <v>27</v>
      </c>
      <c r="G53" s="5">
        <v>46006</v>
      </c>
      <c r="H53" t="str">
        <f t="shared" si="0"/>
        <v>December</v>
      </c>
      <c r="I53" s="5">
        <v>46016</v>
      </c>
      <c r="J53" s="7">
        <f t="shared" si="1"/>
        <v>10</v>
      </c>
      <c r="K53" s="6">
        <v>70540</v>
      </c>
    </row>
    <row r="54" spans="1:11" x14ac:dyDescent="0.3">
      <c r="A54" t="s">
        <v>126</v>
      </c>
      <c r="B54" t="s">
        <v>127</v>
      </c>
      <c r="C54">
        <v>36</v>
      </c>
      <c r="D54" t="s">
        <v>12</v>
      </c>
      <c r="E54" t="s">
        <v>39</v>
      </c>
      <c r="F54" t="s">
        <v>14</v>
      </c>
      <c r="G54" s="5">
        <v>45925</v>
      </c>
      <c r="H54" t="str">
        <f t="shared" si="0"/>
        <v>September</v>
      </c>
      <c r="I54" s="5">
        <v>45940</v>
      </c>
      <c r="J54" s="7">
        <f t="shared" si="1"/>
        <v>15</v>
      </c>
      <c r="K54" s="6">
        <v>161925</v>
      </c>
    </row>
    <row r="55" spans="1:11" x14ac:dyDescent="0.3">
      <c r="A55" t="s">
        <v>128</v>
      </c>
      <c r="B55" t="s">
        <v>109</v>
      </c>
      <c r="C55">
        <v>73</v>
      </c>
      <c r="D55" t="s">
        <v>12</v>
      </c>
      <c r="E55" t="s">
        <v>26</v>
      </c>
      <c r="F55" t="s">
        <v>62</v>
      </c>
      <c r="G55" s="5">
        <v>45944</v>
      </c>
      <c r="H55" t="str">
        <f t="shared" si="0"/>
        <v>October</v>
      </c>
      <c r="I55" s="5">
        <v>45947</v>
      </c>
      <c r="J55" s="7">
        <f t="shared" si="1"/>
        <v>3</v>
      </c>
      <c r="K55" s="6">
        <v>32340</v>
      </c>
    </row>
    <row r="56" spans="1:11" x14ac:dyDescent="0.3">
      <c r="A56" t="s">
        <v>129</v>
      </c>
      <c r="B56" t="s">
        <v>130</v>
      </c>
      <c r="C56">
        <v>79</v>
      </c>
      <c r="D56" t="s">
        <v>17</v>
      </c>
      <c r="E56" t="s">
        <v>30</v>
      </c>
      <c r="F56" t="s">
        <v>42</v>
      </c>
      <c r="G56" s="5">
        <v>45809</v>
      </c>
      <c r="H56" t="str">
        <f t="shared" si="0"/>
        <v>June</v>
      </c>
      <c r="I56" s="5">
        <v>45822</v>
      </c>
      <c r="J56" s="7">
        <f t="shared" si="1"/>
        <v>13</v>
      </c>
      <c r="K56" s="6">
        <v>98137</v>
      </c>
    </row>
    <row r="57" spans="1:11" x14ac:dyDescent="0.3">
      <c r="A57" t="s">
        <v>131</v>
      </c>
      <c r="B57" t="s">
        <v>132</v>
      </c>
      <c r="C57">
        <v>65</v>
      </c>
      <c r="D57" t="s">
        <v>12</v>
      </c>
      <c r="E57" t="s">
        <v>26</v>
      </c>
      <c r="F57" t="s">
        <v>23</v>
      </c>
      <c r="G57" s="5">
        <v>45763</v>
      </c>
      <c r="H57" t="str">
        <f t="shared" si="0"/>
        <v>April</v>
      </c>
      <c r="I57" s="5">
        <v>45765</v>
      </c>
      <c r="J57" s="7">
        <f t="shared" si="1"/>
        <v>2</v>
      </c>
      <c r="K57" s="6">
        <v>17530</v>
      </c>
    </row>
    <row r="58" spans="1:11" x14ac:dyDescent="0.3">
      <c r="A58" t="s">
        <v>133</v>
      </c>
      <c r="B58" t="s">
        <v>134</v>
      </c>
      <c r="C58">
        <v>81</v>
      </c>
      <c r="D58" t="s">
        <v>12</v>
      </c>
      <c r="E58" t="s">
        <v>26</v>
      </c>
      <c r="F58" t="s">
        <v>34</v>
      </c>
      <c r="G58" s="5">
        <v>45721</v>
      </c>
      <c r="H58" t="str">
        <f t="shared" si="0"/>
        <v>March</v>
      </c>
      <c r="I58" s="5">
        <v>45723</v>
      </c>
      <c r="J58" s="7">
        <f t="shared" si="1"/>
        <v>2</v>
      </c>
      <c r="K58" s="6">
        <v>13930</v>
      </c>
    </row>
    <row r="59" spans="1:11" x14ac:dyDescent="0.3">
      <c r="A59" t="s">
        <v>135</v>
      </c>
      <c r="B59" t="s">
        <v>107</v>
      </c>
      <c r="C59">
        <v>52</v>
      </c>
      <c r="D59" t="s">
        <v>17</v>
      </c>
      <c r="E59" t="s">
        <v>18</v>
      </c>
      <c r="F59" t="s">
        <v>27</v>
      </c>
      <c r="G59" s="5">
        <v>45736</v>
      </c>
      <c r="H59" t="str">
        <f t="shared" si="0"/>
        <v>March</v>
      </c>
      <c r="I59" s="5">
        <v>45749</v>
      </c>
      <c r="J59" s="7">
        <f t="shared" si="1"/>
        <v>13</v>
      </c>
      <c r="K59" s="6">
        <v>125242</v>
      </c>
    </row>
    <row r="60" spans="1:11" x14ac:dyDescent="0.3">
      <c r="A60" t="s">
        <v>136</v>
      </c>
      <c r="B60" t="s">
        <v>137</v>
      </c>
      <c r="C60">
        <v>61</v>
      </c>
      <c r="D60" t="s">
        <v>17</v>
      </c>
      <c r="E60" t="s">
        <v>102</v>
      </c>
      <c r="F60" t="s">
        <v>34</v>
      </c>
      <c r="G60" s="5">
        <v>45800</v>
      </c>
      <c r="H60" t="str">
        <f t="shared" si="0"/>
        <v>May</v>
      </c>
      <c r="I60" s="5">
        <v>45806</v>
      </c>
      <c r="J60" s="7">
        <f t="shared" si="1"/>
        <v>6</v>
      </c>
      <c r="K60" s="6">
        <v>45582</v>
      </c>
    </row>
    <row r="61" spans="1:11" x14ac:dyDescent="0.3">
      <c r="A61" t="s">
        <v>138</v>
      </c>
      <c r="B61" t="s">
        <v>139</v>
      </c>
      <c r="C61">
        <v>48</v>
      </c>
      <c r="D61" t="s">
        <v>12</v>
      </c>
      <c r="E61" t="s">
        <v>48</v>
      </c>
      <c r="F61" t="s">
        <v>34</v>
      </c>
      <c r="G61" s="5">
        <v>45693</v>
      </c>
      <c r="H61" t="str">
        <f t="shared" si="0"/>
        <v>February</v>
      </c>
      <c r="I61" s="5">
        <v>45708</v>
      </c>
      <c r="J61" s="7">
        <f t="shared" si="1"/>
        <v>15</v>
      </c>
      <c r="K61" s="6">
        <v>127710</v>
      </c>
    </row>
    <row r="62" spans="1:11" x14ac:dyDescent="0.3">
      <c r="A62" t="s">
        <v>140</v>
      </c>
      <c r="B62" t="s">
        <v>123</v>
      </c>
      <c r="C62">
        <v>29</v>
      </c>
      <c r="D62" t="s">
        <v>12</v>
      </c>
      <c r="E62" t="s">
        <v>33</v>
      </c>
      <c r="F62" t="s">
        <v>23</v>
      </c>
      <c r="G62" s="5">
        <v>45794</v>
      </c>
      <c r="H62" t="str">
        <f t="shared" si="0"/>
        <v>May</v>
      </c>
      <c r="I62" s="5">
        <v>45796</v>
      </c>
      <c r="J62" s="7">
        <f t="shared" si="1"/>
        <v>2</v>
      </c>
      <c r="K62" s="6">
        <v>10778</v>
      </c>
    </row>
    <row r="63" spans="1:11" x14ac:dyDescent="0.3">
      <c r="A63" t="s">
        <v>141</v>
      </c>
      <c r="B63" t="s">
        <v>142</v>
      </c>
      <c r="C63">
        <v>19</v>
      </c>
      <c r="D63" t="s">
        <v>17</v>
      </c>
      <c r="E63" t="s">
        <v>22</v>
      </c>
      <c r="F63" t="s">
        <v>59</v>
      </c>
      <c r="G63" s="5">
        <v>45980</v>
      </c>
      <c r="H63" t="str">
        <f t="shared" si="0"/>
        <v>November</v>
      </c>
      <c r="I63" s="5">
        <v>45994</v>
      </c>
      <c r="J63" s="7">
        <f t="shared" si="1"/>
        <v>14</v>
      </c>
      <c r="K63" s="6">
        <v>154966</v>
      </c>
    </row>
    <row r="64" spans="1:11" x14ac:dyDescent="0.3">
      <c r="A64" t="s">
        <v>143</v>
      </c>
      <c r="B64" t="s">
        <v>144</v>
      </c>
      <c r="C64">
        <v>49</v>
      </c>
      <c r="D64" t="s">
        <v>12</v>
      </c>
      <c r="E64" t="s">
        <v>18</v>
      </c>
      <c r="F64" t="s">
        <v>23</v>
      </c>
      <c r="G64" s="5">
        <v>45695</v>
      </c>
      <c r="H64" t="str">
        <f t="shared" si="0"/>
        <v>February</v>
      </c>
      <c r="I64" s="5">
        <v>45698</v>
      </c>
      <c r="J64" s="7">
        <f t="shared" si="1"/>
        <v>3</v>
      </c>
      <c r="K64" s="6">
        <v>35943</v>
      </c>
    </row>
    <row r="65" spans="1:11" x14ac:dyDescent="0.3">
      <c r="A65" t="s">
        <v>145</v>
      </c>
      <c r="B65" t="s">
        <v>146</v>
      </c>
      <c r="C65">
        <v>39</v>
      </c>
      <c r="D65" t="s">
        <v>17</v>
      </c>
      <c r="E65" t="s">
        <v>26</v>
      </c>
      <c r="F65" t="s">
        <v>62</v>
      </c>
      <c r="G65" s="5">
        <v>45690</v>
      </c>
      <c r="H65" t="str">
        <f t="shared" si="0"/>
        <v>February</v>
      </c>
      <c r="I65" s="5">
        <v>45699</v>
      </c>
      <c r="J65" s="7">
        <f t="shared" si="1"/>
        <v>9</v>
      </c>
      <c r="K65" s="6">
        <v>43083</v>
      </c>
    </row>
    <row r="66" spans="1:11" x14ac:dyDescent="0.3">
      <c r="A66" t="s">
        <v>147</v>
      </c>
      <c r="B66" t="s">
        <v>148</v>
      </c>
      <c r="C66">
        <v>89</v>
      </c>
      <c r="D66" t="s">
        <v>12</v>
      </c>
      <c r="E66" t="s">
        <v>102</v>
      </c>
      <c r="F66" t="s">
        <v>27</v>
      </c>
      <c r="G66" s="5">
        <v>45891</v>
      </c>
      <c r="H66" t="str">
        <f t="shared" ref="H66:H129" si="2">TEXT(G66,"mmmm")</f>
        <v>August</v>
      </c>
      <c r="I66" s="5">
        <v>45896</v>
      </c>
      <c r="J66" s="7">
        <f t="shared" si="1"/>
        <v>5</v>
      </c>
      <c r="K66" s="6">
        <v>47870</v>
      </c>
    </row>
    <row r="67" spans="1:11" x14ac:dyDescent="0.3">
      <c r="A67" t="s">
        <v>149</v>
      </c>
      <c r="B67" t="s">
        <v>134</v>
      </c>
      <c r="C67">
        <v>66</v>
      </c>
      <c r="D67" t="s">
        <v>12</v>
      </c>
      <c r="E67" t="s">
        <v>30</v>
      </c>
      <c r="F67" t="s">
        <v>19</v>
      </c>
      <c r="G67" s="5">
        <v>45664</v>
      </c>
      <c r="H67" t="str">
        <f t="shared" si="2"/>
        <v>January</v>
      </c>
      <c r="I67" s="5">
        <v>45666</v>
      </c>
      <c r="J67" s="7">
        <f t="shared" ref="J67:J130" si="3">I67-G67</f>
        <v>2</v>
      </c>
      <c r="K67" s="6">
        <v>19432</v>
      </c>
    </row>
    <row r="68" spans="1:11" x14ac:dyDescent="0.3">
      <c r="A68" t="s">
        <v>150</v>
      </c>
      <c r="B68" t="s">
        <v>151</v>
      </c>
      <c r="C68">
        <v>62</v>
      </c>
      <c r="D68" t="s">
        <v>17</v>
      </c>
      <c r="E68" t="s">
        <v>48</v>
      </c>
      <c r="F68" t="s">
        <v>19</v>
      </c>
      <c r="G68" s="5">
        <v>45863</v>
      </c>
      <c r="H68" t="str">
        <f t="shared" si="2"/>
        <v>July</v>
      </c>
      <c r="I68" s="5">
        <v>45868</v>
      </c>
      <c r="J68" s="7">
        <f t="shared" si="3"/>
        <v>5</v>
      </c>
      <c r="K68" s="6">
        <v>44215</v>
      </c>
    </row>
    <row r="69" spans="1:11" x14ac:dyDescent="0.3">
      <c r="A69" t="s">
        <v>152</v>
      </c>
      <c r="B69" t="s">
        <v>52</v>
      </c>
      <c r="C69">
        <v>18</v>
      </c>
      <c r="D69" t="s">
        <v>12</v>
      </c>
      <c r="E69" t="s">
        <v>33</v>
      </c>
      <c r="F69" t="s">
        <v>23</v>
      </c>
      <c r="G69" s="5">
        <v>45936</v>
      </c>
      <c r="H69" t="str">
        <f t="shared" si="2"/>
        <v>October</v>
      </c>
      <c r="I69" s="5">
        <v>45938</v>
      </c>
      <c r="J69" s="7">
        <f t="shared" si="3"/>
        <v>2</v>
      </c>
      <c r="K69" s="6">
        <v>16430</v>
      </c>
    </row>
    <row r="70" spans="1:11" x14ac:dyDescent="0.3">
      <c r="A70" t="s">
        <v>153</v>
      </c>
      <c r="B70" t="s">
        <v>154</v>
      </c>
      <c r="C70">
        <v>23</v>
      </c>
      <c r="D70" t="s">
        <v>12</v>
      </c>
      <c r="E70" t="s">
        <v>48</v>
      </c>
      <c r="F70" t="s">
        <v>59</v>
      </c>
      <c r="G70" s="5">
        <v>45868</v>
      </c>
      <c r="H70" t="str">
        <f t="shared" si="2"/>
        <v>July</v>
      </c>
      <c r="I70" s="5">
        <v>45879</v>
      </c>
      <c r="J70" s="7">
        <f t="shared" si="3"/>
        <v>11</v>
      </c>
      <c r="K70" s="6">
        <v>85393</v>
      </c>
    </row>
    <row r="71" spans="1:11" x14ac:dyDescent="0.3">
      <c r="A71" t="s">
        <v>155</v>
      </c>
      <c r="B71" t="s">
        <v>156</v>
      </c>
      <c r="C71">
        <v>20</v>
      </c>
      <c r="D71" t="s">
        <v>17</v>
      </c>
      <c r="E71" t="s">
        <v>39</v>
      </c>
      <c r="F71" t="s">
        <v>23</v>
      </c>
      <c r="G71" s="5">
        <v>46005</v>
      </c>
      <c r="H71" t="str">
        <f t="shared" si="2"/>
        <v>December</v>
      </c>
      <c r="I71" s="5">
        <v>46012</v>
      </c>
      <c r="J71" s="7">
        <f t="shared" si="3"/>
        <v>7</v>
      </c>
      <c r="K71" s="6">
        <v>50498</v>
      </c>
    </row>
    <row r="72" spans="1:11" x14ac:dyDescent="0.3">
      <c r="A72" t="s">
        <v>157</v>
      </c>
      <c r="B72" t="s">
        <v>158</v>
      </c>
      <c r="C72">
        <v>48</v>
      </c>
      <c r="D72" t="s">
        <v>12</v>
      </c>
      <c r="E72" t="s">
        <v>45</v>
      </c>
      <c r="F72" t="s">
        <v>14</v>
      </c>
      <c r="G72" s="5">
        <v>45680</v>
      </c>
      <c r="H72" t="str">
        <f t="shared" si="2"/>
        <v>January</v>
      </c>
      <c r="I72" s="5">
        <v>45695</v>
      </c>
      <c r="J72" s="7">
        <f t="shared" si="3"/>
        <v>15</v>
      </c>
      <c r="K72" s="6">
        <v>74100</v>
      </c>
    </row>
    <row r="73" spans="1:11" x14ac:dyDescent="0.3">
      <c r="A73" t="s">
        <v>159</v>
      </c>
      <c r="B73" t="s">
        <v>160</v>
      </c>
      <c r="C73">
        <v>47</v>
      </c>
      <c r="D73" t="s">
        <v>17</v>
      </c>
      <c r="E73" t="s">
        <v>48</v>
      </c>
      <c r="F73" t="s">
        <v>34</v>
      </c>
      <c r="G73" s="5">
        <v>45832</v>
      </c>
      <c r="H73" t="str">
        <f t="shared" si="2"/>
        <v>June</v>
      </c>
      <c r="I73" s="5">
        <v>45847</v>
      </c>
      <c r="J73" s="7">
        <f t="shared" si="3"/>
        <v>15</v>
      </c>
      <c r="K73" s="6">
        <v>163695</v>
      </c>
    </row>
    <row r="74" spans="1:11" x14ac:dyDescent="0.3">
      <c r="A74" t="s">
        <v>161</v>
      </c>
      <c r="B74" t="s">
        <v>162</v>
      </c>
      <c r="C74">
        <v>80</v>
      </c>
      <c r="D74" t="s">
        <v>17</v>
      </c>
      <c r="E74" t="s">
        <v>30</v>
      </c>
      <c r="F74" t="s">
        <v>34</v>
      </c>
      <c r="G74" s="5">
        <v>45917</v>
      </c>
      <c r="H74" t="str">
        <f t="shared" si="2"/>
        <v>September</v>
      </c>
      <c r="I74" s="5">
        <v>45924</v>
      </c>
      <c r="J74" s="7">
        <f t="shared" si="3"/>
        <v>7</v>
      </c>
      <c r="K74" s="6">
        <v>49623</v>
      </c>
    </row>
    <row r="75" spans="1:11" x14ac:dyDescent="0.3">
      <c r="A75" t="s">
        <v>163</v>
      </c>
      <c r="B75" t="s">
        <v>164</v>
      </c>
      <c r="C75">
        <v>81</v>
      </c>
      <c r="D75" t="s">
        <v>17</v>
      </c>
      <c r="E75" t="s">
        <v>33</v>
      </c>
      <c r="F75" t="s">
        <v>19</v>
      </c>
      <c r="G75" s="5">
        <v>45697</v>
      </c>
      <c r="H75" t="str">
        <f t="shared" si="2"/>
        <v>February</v>
      </c>
      <c r="I75" s="5">
        <v>45710</v>
      </c>
      <c r="J75" s="7">
        <f t="shared" si="3"/>
        <v>13</v>
      </c>
      <c r="K75" s="6">
        <v>129142</v>
      </c>
    </row>
    <row r="76" spans="1:11" x14ac:dyDescent="0.3">
      <c r="A76" t="s">
        <v>165</v>
      </c>
      <c r="B76" t="s">
        <v>114</v>
      </c>
      <c r="C76">
        <v>76</v>
      </c>
      <c r="D76" t="s">
        <v>12</v>
      </c>
      <c r="E76" t="s">
        <v>13</v>
      </c>
      <c r="F76" t="s">
        <v>34</v>
      </c>
      <c r="G76" s="5">
        <v>45906</v>
      </c>
      <c r="H76" t="str">
        <f t="shared" si="2"/>
        <v>September</v>
      </c>
      <c r="I76" s="5">
        <v>45912</v>
      </c>
      <c r="J76" s="7">
        <f t="shared" si="3"/>
        <v>6</v>
      </c>
      <c r="K76" s="6">
        <v>55662</v>
      </c>
    </row>
    <row r="77" spans="1:11" x14ac:dyDescent="0.3">
      <c r="A77" t="s">
        <v>166</v>
      </c>
      <c r="B77" t="s">
        <v>132</v>
      </c>
      <c r="C77">
        <v>63</v>
      </c>
      <c r="D77" t="s">
        <v>12</v>
      </c>
      <c r="E77" t="s">
        <v>48</v>
      </c>
      <c r="F77" t="s">
        <v>27</v>
      </c>
      <c r="G77" s="5">
        <v>45881</v>
      </c>
      <c r="H77" t="str">
        <f t="shared" si="2"/>
        <v>August</v>
      </c>
      <c r="I77" s="5">
        <v>45883</v>
      </c>
      <c r="J77" s="7">
        <f t="shared" si="3"/>
        <v>2</v>
      </c>
      <c r="K77" s="6">
        <v>10664</v>
      </c>
    </row>
    <row r="78" spans="1:11" x14ac:dyDescent="0.3">
      <c r="A78" t="s">
        <v>167</v>
      </c>
      <c r="B78" t="s">
        <v>168</v>
      </c>
      <c r="C78">
        <v>68</v>
      </c>
      <c r="D78" t="s">
        <v>12</v>
      </c>
      <c r="E78" t="s">
        <v>39</v>
      </c>
      <c r="F78" t="s">
        <v>34</v>
      </c>
      <c r="G78" s="5">
        <v>45673</v>
      </c>
      <c r="H78" t="str">
        <f t="shared" si="2"/>
        <v>January</v>
      </c>
      <c r="I78" s="5">
        <v>45686</v>
      </c>
      <c r="J78" s="7">
        <f t="shared" si="3"/>
        <v>13</v>
      </c>
      <c r="K78" s="6">
        <v>75504</v>
      </c>
    </row>
    <row r="79" spans="1:11" x14ac:dyDescent="0.3">
      <c r="A79" t="s">
        <v>169</v>
      </c>
      <c r="B79" t="s">
        <v>98</v>
      </c>
      <c r="C79">
        <v>78</v>
      </c>
      <c r="D79" t="s">
        <v>12</v>
      </c>
      <c r="E79" t="s">
        <v>39</v>
      </c>
      <c r="F79" t="s">
        <v>59</v>
      </c>
      <c r="G79" s="5">
        <v>45714</v>
      </c>
      <c r="H79" t="str">
        <f t="shared" si="2"/>
        <v>February</v>
      </c>
      <c r="I79" s="5">
        <v>45729</v>
      </c>
      <c r="J79" s="7">
        <f t="shared" si="3"/>
        <v>15</v>
      </c>
      <c r="K79" s="6">
        <v>148350</v>
      </c>
    </row>
    <row r="80" spans="1:11" x14ac:dyDescent="0.3">
      <c r="A80" t="s">
        <v>170</v>
      </c>
      <c r="B80" t="s">
        <v>171</v>
      </c>
      <c r="C80">
        <v>13</v>
      </c>
      <c r="D80" t="s">
        <v>12</v>
      </c>
      <c r="E80" t="s">
        <v>45</v>
      </c>
      <c r="F80" t="s">
        <v>27</v>
      </c>
      <c r="G80" s="5">
        <v>45865</v>
      </c>
      <c r="H80" t="str">
        <f t="shared" si="2"/>
        <v>July</v>
      </c>
      <c r="I80" s="5">
        <v>45867</v>
      </c>
      <c r="J80" s="7">
        <f t="shared" si="3"/>
        <v>2</v>
      </c>
      <c r="K80" s="6">
        <v>21730</v>
      </c>
    </row>
    <row r="81" spans="1:11" x14ac:dyDescent="0.3">
      <c r="A81" t="s">
        <v>172</v>
      </c>
      <c r="B81" t="s">
        <v>32</v>
      </c>
      <c r="C81">
        <v>56</v>
      </c>
      <c r="D81" t="s">
        <v>12</v>
      </c>
      <c r="E81" t="s">
        <v>48</v>
      </c>
      <c r="F81" t="s">
        <v>42</v>
      </c>
      <c r="G81" s="5">
        <v>45943</v>
      </c>
      <c r="H81" t="str">
        <f t="shared" si="2"/>
        <v>October</v>
      </c>
      <c r="I81" s="5">
        <v>45946</v>
      </c>
      <c r="J81" s="7">
        <f t="shared" si="3"/>
        <v>3</v>
      </c>
      <c r="K81" s="6">
        <v>17433</v>
      </c>
    </row>
    <row r="82" spans="1:11" x14ac:dyDescent="0.3">
      <c r="A82" t="s">
        <v>173</v>
      </c>
      <c r="B82" t="s">
        <v>86</v>
      </c>
      <c r="C82">
        <v>50</v>
      </c>
      <c r="D82" t="s">
        <v>12</v>
      </c>
      <c r="E82" t="s">
        <v>45</v>
      </c>
      <c r="F82" t="s">
        <v>19</v>
      </c>
      <c r="G82" s="5">
        <v>45936</v>
      </c>
      <c r="H82" t="str">
        <f t="shared" si="2"/>
        <v>October</v>
      </c>
      <c r="I82" s="5">
        <v>45948</v>
      </c>
      <c r="J82" s="7">
        <f t="shared" si="3"/>
        <v>12</v>
      </c>
      <c r="K82" s="6">
        <v>138456</v>
      </c>
    </row>
    <row r="83" spans="1:11" x14ac:dyDescent="0.3">
      <c r="A83" t="s">
        <v>174</v>
      </c>
      <c r="B83" t="s">
        <v>107</v>
      </c>
      <c r="C83">
        <v>90</v>
      </c>
      <c r="D83" t="s">
        <v>12</v>
      </c>
      <c r="E83" t="s">
        <v>18</v>
      </c>
      <c r="F83" t="s">
        <v>27</v>
      </c>
      <c r="G83" s="5">
        <v>45983</v>
      </c>
      <c r="H83" t="str">
        <f t="shared" si="2"/>
        <v>November</v>
      </c>
      <c r="I83" s="5">
        <v>45985</v>
      </c>
      <c r="J83" s="7">
        <f t="shared" si="3"/>
        <v>2</v>
      </c>
      <c r="K83" s="6">
        <v>21558</v>
      </c>
    </row>
    <row r="84" spans="1:11" x14ac:dyDescent="0.3">
      <c r="A84" t="s">
        <v>175</v>
      </c>
      <c r="B84" t="s">
        <v>176</v>
      </c>
      <c r="C84">
        <v>32</v>
      </c>
      <c r="D84" t="s">
        <v>17</v>
      </c>
      <c r="E84" t="s">
        <v>102</v>
      </c>
      <c r="F84" t="s">
        <v>34</v>
      </c>
      <c r="G84" s="5">
        <v>45907</v>
      </c>
      <c r="H84" t="str">
        <f t="shared" si="2"/>
        <v>September</v>
      </c>
      <c r="I84" s="5">
        <v>45922</v>
      </c>
      <c r="J84" s="7">
        <f t="shared" si="3"/>
        <v>15</v>
      </c>
      <c r="K84" s="6">
        <v>69480</v>
      </c>
    </row>
    <row r="85" spans="1:11" x14ac:dyDescent="0.3">
      <c r="A85" t="s">
        <v>177</v>
      </c>
      <c r="B85" t="s">
        <v>178</v>
      </c>
      <c r="C85">
        <v>31</v>
      </c>
      <c r="D85" t="s">
        <v>12</v>
      </c>
      <c r="E85" t="s">
        <v>22</v>
      </c>
      <c r="F85" t="s">
        <v>42</v>
      </c>
      <c r="G85" s="5">
        <v>45896</v>
      </c>
      <c r="H85" t="str">
        <f t="shared" si="2"/>
        <v>August</v>
      </c>
      <c r="I85" s="5">
        <v>45900</v>
      </c>
      <c r="J85" s="7">
        <f t="shared" si="3"/>
        <v>4</v>
      </c>
      <c r="K85" s="6">
        <v>30972</v>
      </c>
    </row>
    <row r="86" spans="1:11" x14ac:dyDescent="0.3">
      <c r="A86" t="s">
        <v>179</v>
      </c>
      <c r="B86" t="s">
        <v>127</v>
      </c>
      <c r="C86">
        <v>40</v>
      </c>
      <c r="D86" t="s">
        <v>17</v>
      </c>
      <c r="E86" t="s">
        <v>26</v>
      </c>
      <c r="F86" t="s">
        <v>14</v>
      </c>
      <c r="G86" s="5">
        <v>45817</v>
      </c>
      <c r="H86" t="str">
        <f t="shared" si="2"/>
        <v>June</v>
      </c>
      <c r="I86" s="5">
        <v>45825</v>
      </c>
      <c r="J86" s="7">
        <f t="shared" si="3"/>
        <v>8</v>
      </c>
      <c r="K86" s="6">
        <v>47360</v>
      </c>
    </row>
    <row r="87" spans="1:11" x14ac:dyDescent="0.3">
      <c r="A87" t="s">
        <v>180</v>
      </c>
      <c r="B87" t="s">
        <v>181</v>
      </c>
      <c r="C87">
        <v>46</v>
      </c>
      <c r="D87" t="s">
        <v>12</v>
      </c>
      <c r="E87" t="s">
        <v>33</v>
      </c>
      <c r="F87" t="s">
        <v>14</v>
      </c>
      <c r="G87" s="5">
        <v>45973</v>
      </c>
      <c r="H87" t="str">
        <f t="shared" si="2"/>
        <v>November</v>
      </c>
      <c r="I87" s="5">
        <v>45975</v>
      </c>
      <c r="J87" s="7">
        <f t="shared" si="3"/>
        <v>2</v>
      </c>
      <c r="K87" s="6">
        <v>14318</v>
      </c>
    </row>
    <row r="88" spans="1:11" x14ac:dyDescent="0.3">
      <c r="A88" t="s">
        <v>182</v>
      </c>
      <c r="B88" t="s">
        <v>107</v>
      </c>
      <c r="C88">
        <v>38</v>
      </c>
      <c r="D88" t="s">
        <v>17</v>
      </c>
      <c r="E88" t="s">
        <v>33</v>
      </c>
      <c r="F88" t="s">
        <v>42</v>
      </c>
      <c r="G88" s="5">
        <v>45855</v>
      </c>
      <c r="H88" t="str">
        <f t="shared" si="2"/>
        <v>July</v>
      </c>
      <c r="I88" s="5">
        <v>45866</v>
      </c>
      <c r="J88" s="7">
        <f t="shared" si="3"/>
        <v>11</v>
      </c>
      <c r="K88" s="6">
        <v>45276</v>
      </c>
    </row>
    <row r="89" spans="1:11" x14ac:dyDescent="0.3">
      <c r="A89" t="s">
        <v>183</v>
      </c>
      <c r="B89" t="s">
        <v>168</v>
      </c>
      <c r="C89">
        <v>53</v>
      </c>
      <c r="D89" t="s">
        <v>17</v>
      </c>
      <c r="E89" t="s">
        <v>22</v>
      </c>
      <c r="F89" t="s">
        <v>62</v>
      </c>
      <c r="G89" s="5">
        <v>46012</v>
      </c>
      <c r="H89" t="str">
        <f t="shared" si="2"/>
        <v>December</v>
      </c>
      <c r="I89" s="5">
        <v>46025</v>
      </c>
      <c r="J89" s="7">
        <f t="shared" si="3"/>
        <v>13</v>
      </c>
      <c r="K89" s="6">
        <v>57122</v>
      </c>
    </row>
    <row r="90" spans="1:11" x14ac:dyDescent="0.3">
      <c r="A90" t="s">
        <v>184</v>
      </c>
      <c r="B90" t="s">
        <v>185</v>
      </c>
      <c r="C90">
        <v>57</v>
      </c>
      <c r="D90" t="s">
        <v>17</v>
      </c>
      <c r="E90" t="s">
        <v>48</v>
      </c>
      <c r="F90" t="s">
        <v>19</v>
      </c>
      <c r="G90" s="5">
        <v>45951</v>
      </c>
      <c r="H90" t="str">
        <f t="shared" si="2"/>
        <v>October</v>
      </c>
      <c r="I90" s="5">
        <v>45961</v>
      </c>
      <c r="J90" s="7">
        <f t="shared" si="3"/>
        <v>10</v>
      </c>
      <c r="K90" s="6">
        <v>70500</v>
      </c>
    </row>
    <row r="91" spans="1:11" x14ac:dyDescent="0.3">
      <c r="A91" t="s">
        <v>186</v>
      </c>
      <c r="B91" t="s">
        <v>187</v>
      </c>
      <c r="C91">
        <v>74</v>
      </c>
      <c r="D91" t="s">
        <v>12</v>
      </c>
      <c r="E91" t="s">
        <v>26</v>
      </c>
      <c r="F91" t="s">
        <v>23</v>
      </c>
      <c r="G91" s="5">
        <v>45716</v>
      </c>
      <c r="H91" t="str">
        <f t="shared" si="2"/>
        <v>February</v>
      </c>
      <c r="I91" s="5">
        <v>45727</v>
      </c>
      <c r="J91" s="7">
        <f t="shared" si="3"/>
        <v>11</v>
      </c>
      <c r="K91" s="6">
        <v>128304</v>
      </c>
    </row>
    <row r="92" spans="1:11" x14ac:dyDescent="0.3">
      <c r="A92" t="s">
        <v>188</v>
      </c>
      <c r="B92" t="s">
        <v>189</v>
      </c>
      <c r="C92">
        <v>60</v>
      </c>
      <c r="D92" t="s">
        <v>17</v>
      </c>
      <c r="E92" t="s">
        <v>45</v>
      </c>
      <c r="F92" t="s">
        <v>23</v>
      </c>
      <c r="G92" s="5">
        <v>45976</v>
      </c>
      <c r="H92" t="str">
        <f t="shared" si="2"/>
        <v>November</v>
      </c>
      <c r="I92" s="5">
        <v>45989</v>
      </c>
      <c r="J92" s="7">
        <f t="shared" si="3"/>
        <v>13</v>
      </c>
      <c r="K92" s="6">
        <v>113828</v>
      </c>
    </row>
    <row r="93" spans="1:11" x14ac:dyDescent="0.3">
      <c r="A93" t="s">
        <v>190</v>
      </c>
      <c r="B93" t="s">
        <v>191</v>
      </c>
      <c r="C93">
        <v>44</v>
      </c>
      <c r="D93" t="s">
        <v>17</v>
      </c>
      <c r="E93" t="s">
        <v>33</v>
      </c>
      <c r="F93" t="s">
        <v>59</v>
      </c>
      <c r="G93" s="5">
        <v>45771</v>
      </c>
      <c r="H93" t="str">
        <f t="shared" si="2"/>
        <v>April</v>
      </c>
      <c r="I93" s="5">
        <v>45781</v>
      </c>
      <c r="J93" s="7">
        <f t="shared" si="3"/>
        <v>10</v>
      </c>
      <c r="K93" s="6">
        <v>93830</v>
      </c>
    </row>
    <row r="94" spans="1:11" x14ac:dyDescent="0.3">
      <c r="A94" t="s">
        <v>192</v>
      </c>
      <c r="B94" t="s">
        <v>189</v>
      </c>
      <c r="C94">
        <v>68</v>
      </c>
      <c r="D94" t="s">
        <v>17</v>
      </c>
      <c r="E94" t="s">
        <v>22</v>
      </c>
      <c r="F94" t="s">
        <v>62</v>
      </c>
      <c r="G94" s="5">
        <v>45740</v>
      </c>
      <c r="H94" t="str">
        <f t="shared" si="2"/>
        <v>March</v>
      </c>
      <c r="I94" s="5">
        <v>45744</v>
      </c>
      <c r="J94" s="7">
        <f t="shared" si="3"/>
        <v>4</v>
      </c>
      <c r="K94" s="6">
        <v>44476</v>
      </c>
    </row>
    <row r="95" spans="1:11" x14ac:dyDescent="0.3">
      <c r="A95" t="s">
        <v>193</v>
      </c>
      <c r="B95" t="s">
        <v>107</v>
      </c>
      <c r="C95">
        <v>73</v>
      </c>
      <c r="D95" t="s">
        <v>17</v>
      </c>
      <c r="E95" t="s">
        <v>33</v>
      </c>
      <c r="F95" t="s">
        <v>14</v>
      </c>
      <c r="G95" s="5">
        <v>45840</v>
      </c>
      <c r="H95" t="str">
        <f t="shared" si="2"/>
        <v>July</v>
      </c>
      <c r="I95" s="5">
        <v>45850</v>
      </c>
      <c r="J95" s="7">
        <f t="shared" si="3"/>
        <v>10</v>
      </c>
      <c r="K95" s="6">
        <v>106910</v>
      </c>
    </row>
    <row r="96" spans="1:11" x14ac:dyDescent="0.3">
      <c r="A96" t="s">
        <v>194</v>
      </c>
      <c r="B96" t="s">
        <v>66</v>
      </c>
      <c r="C96">
        <v>72</v>
      </c>
      <c r="D96" t="s">
        <v>12</v>
      </c>
      <c r="E96" t="s">
        <v>102</v>
      </c>
      <c r="F96" t="s">
        <v>23</v>
      </c>
      <c r="G96" s="5">
        <v>45998</v>
      </c>
      <c r="H96" t="str">
        <f t="shared" si="2"/>
        <v>December</v>
      </c>
      <c r="I96" s="5">
        <v>46003</v>
      </c>
      <c r="J96" s="7">
        <f t="shared" si="3"/>
        <v>5</v>
      </c>
      <c r="K96" s="6">
        <v>53485</v>
      </c>
    </row>
    <row r="97" spans="1:11" x14ac:dyDescent="0.3">
      <c r="A97" t="s">
        <v>195</v>
      </c>
      <c r="B97" t="s">
        <v>196</v>
      </c>
      <c r="C97">
        <v>70</v>
      </c>
      <c r="D97" t="s">
        <v>12</v>
      </c>
      <c r="E97" t="s">
        <v>30</v>
      </c>
      <c r="F97" t="s">
        <v>27</v>
      </c>
      <c r="G97" s="5">
        <v>45809</v>
      </c>
      <c r="H97" t="str">
        <f t="shared" si="2"/>
        <v>June</v>
      </c>
      <c r="I97" s="5">
        <v>45812</v>
      </c>
      <c r="J97" s="7">
        <f t="shared" si="3"/>
        <v>3</v>
      </c>
      <c r="K97" s="6">
        <v>33045</v>
      </c>
    </row>
    <row r="98" spans="1:11" x14ac:dyDescent="0.3">
      <c r="A98" t="s">
        <v>197</v>
      </c>
      <c r="B98" t="s">
        <v>151</v>
      </c>
      <c r="C98">
        <v>70</v>
      </c>
      <c r="D98" t="s">
        <v>12</v>
      </c>
      <c r="E98" t="s">
        <v>26</v>
      </c>
      <c r="F98" t="s">
        <v>19</v>
      </c>
      <c r="G98" s="5">
        <v>45775</v>
      </c>
      <c r="H98" t="str">
        <f t="shared" si="2"/>
        <v>April</v>
      </c>
      <c r="I98" s="5">
        <v>45783</v>
      </c>
      <c r="J98" s="7">
        <f t="shared" si="3"/>
        <v>8</v>
      </c>
      <c r="K98" s="6">
        <v>46896</v>
      </c>
    </row>
    <row r="99" spans="1:11" x14ac:dyDescent="0.3">
      <c r="A99" t="s">
        <v>198</v>
      </c>
      <c r="B99" t="s">
        <v>199</v>
      </c>
      <c r="C99">
        <v>64</v>
      </c>
      <c r="D99" t="s">
        <v>17</v>
      </c>
      <c r="E99" t="s">
        <v>39</v>
      </c>
      <c r="F99" t="s">
        <v>27</v>
      </c>
      <c r="G99" s="5">
        <v>45817</v>
      </c>
      <c r="H99" t="str">
        <f t="shared" si="2"/>
        <v>June</v>
      </c>
      <c r="I99" s="5">
        <v>45831</v>
      </c>
      <c r="J99" s="7">
        <f t="shared" si="3"/>
        <v>14</v>
      </c>
      <c r="K99" s="6">
        <v>93520</v>
      </c>
    </row>
    <row r="100" spans="1:11" x14ac:dyDescent="0.3">
      <c r="A100" t="s">
        <v>200</v>
      </c>
      <c r="B100" t="s">
        <v>201</v>
      </c>
      <c r="C100">
        <v>82</v>
      </c>
      <c r="D100" t="s">
        <v>12</v>
      </c>
      <c r="E100" t="s">
        <v>22</v>
      </c>
      <c r="F100" t="s">
        <v>62</v>
      </c>
      <c r="G100" s="5">
        <v>45873</v>
      </c>
      <c r="H100" t="str">
        <f t="shared" si="2"/>
        <v>August</v>
      </c>
      <c r="I100" s="5">
        <v>45879</v>
      </c>
      <c r="J100" s="7">
        <f t="shared" si="3"/>
        <v>6</v>
      </c>
      <c r="K100" s="6">
        <v>49950</v>
      </c>
    </row>
    <row r="101" spans="1:11" x14ac:dyDescent="0.3">
      <c r="A101" t="s">
        <v>202</v>
      </c>
      <c r="B101" t="s">
        <v>203</v>
      </c>
      <c r="C101">
        <v>72</v>
      </c>
      <c r="D101" t="s">
        <v>12</v>
      </c>
      <c r="E101" t="s">
        <v>48</v>
      </c>
      <c r="F101" t="s">
        <v>59</v>
      </c>
      <c r="G101" s="5">
        <v>45992</v>
      </c>
      <c r="H101" t="str">
        <f t="shared" si="2"/>
        <v>December</v>
      </c>
      <c r="I101" s="5">
        <v>46004</v>
      </c>
      <c r="J101" s="7">
        <f t="shared" si="3"/>
        <v>12</v>
      </c>
      <c r="K101" s="6">
        <v>128004</v>
      </c>
    </row>
    <row r="102" spans="1:11" x14ac:dyDescent="0.3">
      <c r="A102" t="s">
        <v>204</v>
      </c>
      <c r="B102" t="s">
        <v>66</v>
      </c>
      <c r="C102">
        <v>21</v>
      </c>
      <c r="D102" t="s">
        <v>17</v>
      </c>
      <c r="E102" t="s">
        <v>39</v>
      </c>
      <c r="F102" t="s">
        <v>19</v>
      </c>
      <c r="G102" s="5">
        <v>45913</v>
      </c>
      <c r="H102" t="str">
        <f t="shared" si="2"/>
        <v>September</v>
      </c>
      <c r="I102" s="5">
        <v>45915</v>
      </c>
      <c r="J102" s="7">
        <f t="shared" si="3"/>
        <v>2</v>
      </c>
      <c r="K102" s="6">
        <v>11530</v>
      </c>
    </row>
    <row r="103" spans="1:11" x14ac:dyDescent="0.3">
      <c r="A103" t="s">
        <v>205</v>
      </c>
      <c r="B103" t="s">
        <v>181</v>
      </c>
      <c r="C103">
        <v>87</v>
      </c>
      <c r="D103" t="s">
        <v>12</v>
      </c>
      <c r="E103" t="s">
        <v>33</v>
      </c>
      <c r="F103" t="s">
        <v>23</v>
      </c>
      <c r="G103" s="5">
        <v>46007</v>
      </c>
      <c r="H103" t="str">
        <f t="shared" si="2"/>
        <v>December</v>
      </c>
      <c r="I103" s="5">
        <v>46017</v>
      </c>
      <c r="J103" s="7">
        <f t="shared" si="3"/>
        <v>10</v>
      </c>
      <c r="K103" s="6">
        <v>63420</v>
      </c>
    </row>
    <row r="104" spans="1:11" x14ac:dyDescent="0.3">
      <c r="A104" t="s">
        <v>206</v>
      </c>
      <c r="B104" t="s">
        <v>207</v>
      </c>
      <c r="C104">
        <v>66</v>
      </c>
      <c r="D104" t="s">
        <v>12</v>
      </c>
      <c r="E104" t="s">
        <v>22</v>
      </c>
      <c r="F104" t="s">
        <v>23</v>
      </c>
      <c r="G104" s="5">
        <v>45838</v>
      </c>
      <c r="H104" t="str">
        <f t="shared" si="2"/>
        <v>June</v>
      </c>
      <c r="I104" s="5">
        <v>45850</v>
      </c>
      <c r="J104" s="7">
        <f t="shared" si="3"/>
        <v>12</v>
      </c>
      <c r="K104" s="6">
        <v>83820</v>
      </c>
    </row>
    <row r="105" spans="1:11" x14ac:dyDescent="0.3">
      <c r="A105" t="s">
        <v>208</v>
      </c>
      <c r="B105" t="s">
        <v>209</v>
      </c>
      <c r="C105">
        <v>74</v>
      </c>
      <c r="D105" t="s">
        <v>17</v>
      </c>
      <c r="E105" t="s">
        <v>39</v>
      </c>
      <c r="F105" t="s">
        <v>34</v>
      </c>
      <c r="G105" s="5">
        <v>45819</v>
      </c>
      <c r="H105" t="str">
        <f t="shared" si="2"/>
        <v>June</v>
      </c>
      <c r="I105" s="5">
        <v>45834</v>
      </c>
      <c r="J105" s="7">
        <f t="shared" si="3"/>
        <v>15</v>
      </c>
      <c r="K105" s="6">
        <v>168975</v>
      </c>
    </row>
    <row r="106" spans="1:11" x14ac:dyDescent="0.3">
      <c r="A106" t="s">
        <v>210</v>
      </c>
      <c r="B106" t="s">
        <v>211</v>
      </c>
      <c r="C106">
        <v>10</v>
      </c>
      <c r="D106" t="s">
        <v>17</v>
      </c>
      <c r="E106" t="s">
        <v>18</v>
      </c>
      <c r="F106" t="s">
        <v>14</v>
      </c>
      <c r="G106" s="5">
        <v>45937</v>
      </c>
      <c r="H106" t="str">
        <f t="shared" si="2"/>
        <v>October</v>
      </c>
      <c r="I106" s="5">
        <v>45939</v>
      </c>
      <c r="J106" s="7">
        <f t="shared" si="3"/>
        <v>2</v>
      </c>
      <c r="K106" s="6">
        <v>18190</v>
      </c>
    </row>
    <row r="107" spans="1:11" x14ac:dyDescent="0.3">
      <c r="A107" t="s">
        <v>212</v>
      </c>
      <c r="B107" t="s">
        <v>123</v>
      </c>
      <c r="C107">
        <v>31</v>
      </c>
      <c r="D107" t="s">
        <v>12</v>
      </c>
      <c r="E107" t="s">
        <v>22</v>
      </c>
      <c r="F107" t="s">
        <v>27</v>
      </c>
      <c r="G107" s="5">
        <v>45939</v>
      </c>
      <c r="H107" t="str">
        <f t="shared" si="2"/>
        <v>October</v>
      </c>
      <c r="I107" s="5">
        <v>45945</v>
      </c>
      <c r="J107" s="7">
        <f t="shared" si="3"/>
        <v>6</v>
      </c>
      <c r="K107" s="6">
        <v>53124</v>
      </c>
    </row>
    <row r="108" spans="1:11" x14ac:dyDescent="0.3">
      <c r="A108" t="s">
        <v>213</v>
      </c>
      <c r="B108" t="s">
        <v>61</v>
      </c>
      <c r="C108">
        <v>23</v>
      </c>
      <c r="D108" t="s">
        <v>17</v>
      </c>
      <c r="E108" t="s">
        <v>39</v>
      </c>
      <c r="F108" t="s">
        <v>59</v>
      </c>
      <c r="G108" s="5">
        <v>45982</v>
      </c>
      <c r="H108" t="str">
        <f t="shared" si="2"/>
        <v>November</v>
      </c>
      <c r="I108" s="5">
        <v>45994</v>
      </c>
      <c r="J108" s="7">
        <f t="shared" si="3"/>
        <v>12</v>
      </c>
      <c r="K108" s="6">
        <v>53556</v>
      </c>
    </row>
    <row r="109" spans="1:11" x14ac:dyDescent="0.3">
      <c r="A109" t="s">
        <v>214</v>
      </c>
      <c r="B109" t="s">
        <v>148</v>
      </c>
      <c r="C109">
        <v>86</v>
      </c>
      <c r="D109" t="s">
        <v>12</v>
      </c>
      <c r="E109" t="s">
        <v>102</v>
      </c>
      <c r="F109" t="s">
        <v>27</v>
      </c>
      <c r="G109" s="5">
        <v>46022</v>
      </c>
      <c r="H109" t="str">
        <f t="shared" si="2"/>
        <v>December</v>
      </c>
      <c r="I109" s="5">
        <v>46035</v>
      </c>
      <c r="J109" s="7">
        <f t="shared" si="3"/>
        <v>13</v>
      </c>
      <c r="K109" s="6">
        <v>81822</v>
      </c>
    </row>
    <row r="110" spans="1:11" x14ac:dyDescent="0.3">
      <c r="A110" t="s">
        <v>215</v>
      </c>
      <c r="B110" t="s">
        <v>16</v>
      </c>
      <c r="C110">
        <v>85</v>
      </c>
      <c r="D110" t="s">
        <v>12</v>
      </c>
      <c r="E110" t="s">
        <v>18</v>
      </c>
      <c r="F110" t="s">
        <v>14</v>
      </c>
      <c r="G110" s="5">
        <v>45770</v>
      </c>
      <c r="H110" t="str">
        <f t="shared" si="2"/>
        <v>April</v>
      </c>
      <c r="I110" s="5">
        <v>45775</v>
      </c>
      <c r="J110" s="7">
        <f t="shared" si="3"/>
        <v>5</v>
      </c>
      <c r="K110" s="6">
        <v>54860</v>
      </c>
    </row>
    <row r="111" spans="1:11" x14ac:dyDescent="0.3">
      <c r="A111" t="s">
        <v>216</v>
      </c>
      <c r="B111" t="s">
        <v>217</v>
      </c>
      <c r="C111">
        <v>1</v>
      </c>
      <c r="D111" t="s">
        <v>12</v>
      </c>
      <c r="E111" t="s">
        <v>102</v>
      </c>
      <c r="F111" t="s">
        <v>23</v>
      </c>
      <c r="G111" s="5">
        <v>45862</v>
      </c>
      <c r="H111" t="str">
        <f t="shared" si="2"/>
        <v>July</v>
      </c>
      <c r="I111" s="5">
        <v>45868</v>
      </c>
      <c r="J111" s="7">
        <f t="shared" si="3"/>
        <v>6</v>
      </c>
      <c r="K111" s="6">
        <v>45756</v>
      </c>
    </row>
    <row r="112" spans="1:11" x14ac:dyDescent="0.3">
      <c r="A112" t="s">
        <v>218</v>
      </c>
      <c r="B112" t="s">
        <v>176</v>
      </c>
      <c r="C112">
        <v>33</v>
      </c>
      <c r="D112" t="s">
        <v>12</v>
      </c>
      <c r="E112" t="s">
        <v>39</v>
      </c>
      <c r="F112" t="s">
        <v>14</v>
      </c>
      <c r="G112" s="5">
        <v>45892</v>
      </c>
      <c r="H112" t="str">
        <f t="shared" si="2"/>
        <v>August</v>
      </c>
      <c r="I112" s="5">
        <v>45905</v>
      </c>
      <c r="J112" s="7">
        <f t="shared" si="3"/>
        <v>13</v>
      </c>
      <c r="K112" s="6">
        <v>106197</v>
      </c>
    </row>
    <row r="113" spans="1:11" x14ac:dyDescent="0.3">
      <c r="A113" t="s">
        <v>219</v>
      </c>
      <c r="B113" t="s">
        <v>220</v>
      </c>
      <c r="C113">
        <v>4</v>
      </c>
      <c r="D113" t="s">
        <v>12</v>
      </c>
      <c r="E113" t="s">
        <v>30</v>
      </c>
      <c r="F113" t="s">
        <v>14</v>
      </c>
      <c r="G113" s="5">
        <v>45705</v>
      </c>
      <c r="H113" t="str">
        <f t="shared" si="2"/>
        <v>February</v>
      </c>
      <c r="I113" s="5">
        <v>45719</v>
      </c>
      <c r="J113" s="7">
        <f t="shared" si="3"/>
        <v>14</v>
      </c>
      <c r="K113" s="6">
        <v>110628</v>
      </c>
    </row>
    <row r="114" spans="1:11" x14ac:dyDescent="0.3">
      <c r="A114" t="s">
        <v>221</v>
      </c>
      <c r="B114" t="s">
        <v>52</v>
      </c>
      <c r="C114">
        <v>65</v>
      </c>
      <c r="D114" t="s">
        <v>17</v>
      </c>
      <c r="E114" t="s">
        <v>30</v>
      </c>
      <c r="F114" t="s">
        <v>23</v>
      </c>
      <c r="G114" s="5">
        <v>45778</v>
      </c>
      <c r="H114" t="str">
        <f t="shared" si="2"/>
        <v>May</v>
      </c>
      <c r="I114" s="5">
        <v>45791</v>
      </c>
      <c r="J114" s="7">
        <f t="shared" si="3"/>
        <v>13</v>
      </c>
      <c r="K114" s="6">
        <v>135564</v>
      </c>
    </row>
    <row r="115" spans="1:11" x14ac:dyDescent="0.3">
      <c r="A115" t="s">
        <v>222</v>
      </c>
      <c r="B115" t="s">
        <v>16</v>
      </c>
      <c r="C115">
        <v>14</v>
      </c>
      <c r="D115" t="s">
        <v>12</v>
      </c>
      <c r="E115" t="s">
        <v>13</v>
      </c>
      <c r="F115" t="s">
        <v>14</v>
      </c>
      <c r="G115" s="5">
        <v>45658</v>
      </c>
      <c r="H115" t="str">
        <f t="shared" si="2"/>
        <v>January</v>
      </c>
      <c r="I115" s="5">
        <v>45663</v>
      </c>
      <c r="J115" s="7">
        <f t="shared" si="3"/>
        <v>5</v>
      </c>
      <c r="K115" s="6">
        <v>50035</v>
      </c>
    </row>
    <row r="116" spans="1:11" x14ac:dyDescent="0.3">
      <c r="A116" t="s">
        <v>223</v>
      </c>
      <c r="B116" t="s">
        <v>137</v>
      </c>
      <c r="C116">
        <v>51</v>
      </c>
      <c r="D116" t="s">
        <v>17</v>
      </c>
      <c r="E116" t="s">
        <v>13</v>
      </c>
      <c r="F116" t="s">
        <v>23</v>
      </c>
      <c r="G116" s="5">
        <v>45694</v>
      </c>
      <c r="H116" t="str">
        <f t="shared" si="2"/>
        <v>February</v>
      </c>
      <c r="I116" s="5">
        <v>45698</v>
      </c>
      <c r="J116" s="7">
        <f t="shared" si="3"/>
        <v>4</v>
      </c>
      <c r="K116" s="6">
        <v>32492</v>
      </c>
    </row>
    <row r="117" spans="1:11" x14ac:dyDescent="0.3">
      <c r="A117" t="s">
        <v>224</v>
      </c>
      <c r="B117" t="s">
        <v>151</v>
      </c>
      <c r="C117">
        <v>50</v>
      </c>
      <c r="D117" t="s">
        <v>12</v>
      </c>
      <c r="E117" t="s">
        <v>48</v>
      </c>
      <c r="F117" t="s">
        <v>59</v>
      </c>
      <c r="G117" s="5">
        <v>45881</v>
      </c>
      <c r="H117" t="str">
        <f t="shared" si="2"/>
        <v>August</v>
      </c>
      <c r="I117" s="5">
        <v>45892</v>
      </c>
      <c r="J117" s="7">
        <f t="shared" si="3"/>
        <v>11</v>
      </c>
      <c r="K117" s="6">
        <v>131472</v>
      </c>
    </row>
    <row r="118" spans="1:11" x14ac:dyDescent="0.3">
      <c r="A118" t="s">
        <v>225</v>
      </c>
      <c r="B118" t="s">
        <v>109</v>
      </c>
      <c r="C118">
        <v>29</v>
      </c>
      <c r="D118" t="s">
        <v>17</v>
      </c>
      <c r="E118" t="s">
        <v>45</v>
      </c>
      <c r="F118" t="s">
        <v>42</v>
      </c>
      <c r="G118" s="5">
        <v>45868</v>
      </c>
      <c r="H118" t="str">
        <f t="shared" si="2"/>
        <v>July</v>
      </c>
      <c r="I118" s="5">
        <v>45880</v>
      </c>
      <c r="J118" s="7">
        <f t="shared" si="3"/>
        <v>12</v>
      </c>
      <c r="K118" s="6">
        <v>139032</v>
      </c>
    </row>
    <row r="119" spans="1:11" x14ac:dyDescent="0.3">
      <c r="A119" t="s">
        <v>226</v>
      </c>
      <c r="B119" t="s">
        <v>203</v>
      </c>
      <c r="C119">
        <v>48</v>
      </c>
      <c r="D119" t="s">
        <v>12</v>
      </c>
      <c r="E119" t="s">
        <v>18</v>
      </c>
      <c r="F119" t="s">
        <v>42</v>
      </c>
      <c r="G119" s="5">
        <v>45783</v>
      </c>
      <c r="H119" t="str">
        <f t="shared" si="2"/>
        <v>May</v>
      </c>
      <c r="I119" s="5">
        <v>45787</v>
      </c>
      <c r="J119" s="7">
        <f t="shared" si="3"/>
        <v>4</v>
      </c>
      <c r="K119" s="6">
        <v>32432</v>
      </c>
    </row>
    <row r="120" spans="1:11" x14ac:dyDescent="0.3">
      <c r="A120" t="s">
        <v>227</v>
      </c>
      <c r="B120" t="s">
        <v>25</v>
      </c>
      <c r="C120">
        <v>60</v>
      </c>
      <c r="D120" t="s">
        <v>12</v>
      </c>
      <c r="E120" t="s">
        <v>22</v>
      </c>
      <c r="F120" t="s">
        <v>62</v>
      </c>
      <c r="G120" s="5">
        <v>45985</v>
      </c>
      <c r="H120" t="str">
        <f t="shared" si="2"/>
        <v>November</v>
      </c>
      <c r="I120" s="5">
        <v>46000</v>
      </c>
      <c r="J120" s="7">
        <f t="shared" si="3"/>
        <v>15</v>
      </c>
      <c r="K120" s="6">
        <v>81915</v>
      </c>
    </row>
    <row r="121" spans="1:11" x14ac:dyDescent="0.3">
      <c r="A121" t="s">
        <v>228</v>
      </c>
      <c r="B121" t="s">
        <v>201</v>
      </c>
      <c r="C121">
        <v>49</v>
      </c>
      <c r="D121" t="s">
        <v>12</v>
      </c>
      <c r="E121" t="s">
        <v>18</v>
      </c>
      <c r="F121" t="s">
        <v>59</v>
      </c>
      <c r="G121" s="5">
        <v>46004</v>
      </c>
      <c r="H121" t="str">
        <f t="shared" si="2"/>
        <v>December</v>
      </c>
      <c r="I121" s="5">
        <v>46012</v>
      </c>
      <c r="J121" s="7">
        <f t="shared" si="3"/>
        <v>8</v>
      </c>
      <c r="K121" s="6">
        <v>40744</v>
      </c>
    </row>
    <row r="122" spans="1:11" x14ac:dyDescent="0.3">
      <c r="A122" t="s">
        <v>229</v>
      </c>
      <c r="B122" t="s">
        <v>96</v>
      </c>
      <c r="C122">
        <v>29</v>
      </c>
      <c r="D122" t="s">
        <v>17</v>
      </c>
      <c r="E122" t="s">
        <v>30</v>
      </c>
      <c r="F122" t="s">
        <v>34</v>
      </c>
      <c r="G122" s="5">
        <v>45945</v>
      </c>
      <c r="H122" t="str">
        <f t="shared" si="2"/>
        <v>October</v>
      </c>
      <c r="I122" s="5">
        <v>45952</v>
      </c>
      <c r="J122" s="7">
        <f t="shared" si="3"/>
        <v>7</v>
      </c>
      <c r="K122" s="6">
        <v>71659</v>
      </c>
    </row>
    <row r="123" spans="1:11" x14ac:dyDescent="0.3">
      <c r="A123" t="s">
        <v>230</v>
      </c>
      <c r="B123" t="s">
        <v>231</v>
      </c>
      <c r="C123">
        <v>61</v>
      </c>
      <c r="D123" t="s">
        <v>12</v>
      </c>
      <c r="E123" t="s">
        <v>33</v>
      </c>
      <c r="F123" t="s">
        <v>59</v>
      </c>
      <c r="G123" s="5">
        <v>45781</v>
      </c>
      <c r="H123" t="str">
        <f t="shared" si="2"/>
        <v>May</v>
      </c>
      <c r="I123" s="5">
        <v>45788</v>
      </c>
      <c r="J123" s="7">
        <f t="shared" si="3"/>
        <v>7</v>
      </c>
      <c r="K123" s="6">
        <v>48468</v>
      </c>
    </row>
    <row r="124" spans="1:11" x14ac:dyDescent="0.3">
      <c r="A124" t="s">
        <v>232</v>
      </c>
      <c r="B124" t="s">
        <v>84</v>
      </c>
      <c r="C124">
        <v>19</v>
      </c>
      <c r="D124" t="s">
        <v>17</v>
      </c>
      <c r="E124" t="s">
        <v>45</v>
      </c>
      <c r="F124" t="s">
        <v>27</v>
      </c>
      <c r="G124" s="5">
        <v>45665</v>
      </c>
      <c r="H124" t="str">
        <f t="shared" si="2"/>
        <v>January</v>
      </c>
      <c r="I124" s="5">
        <v>45677</v>
      </c>
      <c r="J124" s="7">
        <f t="shared" si="3"/>
        <v>12</v>
      </c>
      <c r="K124" s="6">
        <v>90084</v>
      </c>
    </row>
    <row r="125" spans="1:11" x14ac:dyDescent="0.3">
      <c r="A125" t="s">
        <v>233</v>
      </c>
      <c r="B125" t="s">
        <v>44</v>
      </c>
      <c r="C125">
        <v>46</v>
      </c>
      <c r="D125" t="s">
        <v>17</v>
      </c>
      <c r="E125" t="s">
        <v>26</v>
      </c>
      <c r="F125" t="s">
        <v>23</v>
      </c>
      <c r="G125" s="5">
        <v>45746</v>
      </c>
      <c r="H125" t="str">
        <f t="shared" si="2"/>
        <v>March</v>
      </c>
      <c r="I125" s="5">
        <v>45748</v>
      </c>
      <c r="J125" s="7">
        <f t="shared" si="3"/>
        <v>2</v>
      </c>
      <c r="K125" s="6">
        <v>13502</v>
      </c>
    </row>
    <row r="126" spans="1:11" x14ac:dyDescent="0.3">
      <c r="A126" t="s">
        <v>234</v>
      </c>
      <c r="B126" t="s">
        <v>231</v>
      </c>
      <c r="C126">
        <v>60</v>
      </c>
      <c r="D126" t="s">
        <v>17</v>
      </c>
      <c r="E126" t="s">
        <v>13</v>
      </c>
      <c r="F126" t="s">
        <v>27</v>
      </c>
      <c r="G126" s="5">
        <v>45771</v>
      </c>
      <c r="H126" t="str">
        <f t="shared" si="2"/>
        <v>April</v>
      </c>
      <c r="I126" s="5">
        <v>45777</v>
      </c>
      <c r="J126" s="7">
        <f t="shared" si="3"/>
        <v>6</v>
      </c>
      <c r="K126" s="6">
        <v>29898</v>
      </c>
    </row>
    <row r="127" spans="1:11" x14ac:dyDescent="0.3">
      <c r="A127" t="s">
        <v>235</v>
      </c>
      <c r="B127" t="s">
        <v>236</v>
      </c>
      <c r="C127">
        <v>60</v>
      </c>
      <c r="D127" t="s">
        <v>12</v>
      </c>
      <c r="E127" t="s">
        <v>22</v>
      </c>
      <c r="F127" t="s">
        <v>62</v>
      </c>
      <c r="G127" s="5">
        <v>45754</v>
      </c>
      <c r="H127" t="str">
        <f t="shared" si="2"/>
        <v>April</v>
      </c>
      <c r="I127" s="5">
        <v>45762</v>
      </c>
      <c r="J127" s="7">
        <f t="shared" si="3"/>
        <v>8</v>
      </c>
      <c r="K127" s="6">
        <v>37232</v>
      </c>
    </row>
    <row r="128" spans="1:11" x14ac:dyDescent="0.3">
      <c r="A128" t="s">
        <v>237</v>
      </c>
      <c r="B128" t="s">
        <v>238</v>
      </c>
      <c r="C128">
        <v>36</v>
      </c>
      <c r="D128" t="s">
        <v>12</v>
      </c>
      <c r="E128" t="s">
        <v>13</v>
      </c>
      <c r="F128" t="s">
        <v>59</v>
      </c>
      <c r="G128" s="5">
        <v>45767</v>
      </c>
      <c r="H128" t="str">
        <f t="shared" si="2"/>
        <v>April</v>
      </c>
      <c r="I128" s="5">
        <v>45778</v>
      </c>
      <c r="J128" s="7">
        <f t="shared" si="3"/>
        <v>11</v>
      </c>
      <c r="K128" s="6">
        <v>112970</v>
      </c>
    </row>
    <row r="129" spans="1:11" x14ac:dyDescent="0.3">
      <c r="A129" t="s">
        <v>239</v>
      </c>
      <c r="B129" t="s">
        <v>203</v>
      </c>
      <c r="C129">
        <v>20</v>
      </c>
      <c r="D129" t="s">
        <v>12</v>
      </c>
      <c r="E129" t="s">
        <v>33</v>
      </c>
      <c r="F129" t="s">
        <v>23</v>
      </c>
      <c r="G129" s="5">
        <v>45659</v>
      </c>
      <c r="H129" t="str">
        <f t="shared" si="2"/>
        <v>January</v>
      </c>
      <c r="I129" s="5">
        <v>45669</v>
      </c>
      <c r="J129" s="7">
        <f t="shared" si="3"/>
        <v>10</v>
      </c>
      <c r="K129" s="6">
        <v>112810</v>
      </c>
    </row>
    <row r="130" spans="1:11" x14ac:dyDescent="0.3">
      <c r="A130" t="s">
        <v>240</v>
      </c>
      <c r="B130" t="s">
        <v>241</v>
      </c>
      <c r="C130">
        <v>72</v>
      </c>
      <c r="D130" t="s">
        <v>17</v>
      </c>
      <c r="E130" t="s">
        <v>102</v>
      </c>
      <c r="F130" t="s">
        <v>62</v>
      </c>
      <c r="G130" s="5">
        <v>45744</v>
      </c>
      <c r="H130" t="str">
        <f t="shared" ref="H130:H193" si="4">TEXT(G130,"mmmm")</f>
        <v>March</v>
      </c>
      <c r="I130" s="5">
        <v>45746</v>
      </c>
      <c r="J130" s="7">
        <f t="shared" si="3"/>
        <v>2</v>
      </c>
      <c r="K130" s="6">
        <v>11654</v>
      </c>
    </row>
    <row r="131" spans="1:11" x14ac:dyDescent="0.3">
      <c r="A131" t="s">
        <v>242</v>
      </c>
      <c r="B131" t="s">
        <v>162</v>
      </c>
      <c r="C131">
        <v>20</v>
      </c>
      <c r="D131" t="s">
        <v>17</v>
      </c>
      <c r="E131" t="s">
        <v>48</v>
      </c>
      <c r="F131" t="s">
        <v>19</v>
      </c>
      <c r="G131" s="5">
        <v>45955</v>
      </c>
      <c r="H131" t="str">
        <f t="shared" si="4"/>
        <v>October</v>
      </c>
      <c r="I131" s="5">
        <v>45956</v>
      </c>
      <c r="J131" s="7">
        <f t="shared" ref="J131:J194" si="5">I131-G131</f>
        <v>1</v>
      </c>
      <c r="K131" s="6">
        <v>6788</v>
      </c>
    </row>
    <row r="132" spans="1:11" x14ac:dyDescent="0.3">
      <c r="A132" t="s">
        <v>243</v>
      </c>
      <c r="B132" t="s">
        <v>107</v>
      </c>
      <c r="C132">
        <v>19</v>
      </c>
      <c r="D132" t="s">
        <v>12</v>
      </c>
      <c r="E132" t="s">
        <v>33</v>
      </c>
      <c r="F132" t="s">
        <v>19</v>
      </c>
      <c r="G132" s="5">
        <v>45742</v>
      </c>
      <c r="H132" t="str">
        <f t="shared" si="4"/>
        <v>March</v>
      </c>
      <c r="I132" s="5">
        <v>45752</v>
      </c>
      <c r="J132" s="7">
        <f t="shared" si="5"/>
        <v>10</v>
      </c>
      <c r="K132" s="6">
        <v>75910</v>
      </c>
    </row>
    <row r="133" spans="1:11" x14ac:dyDescent="0.3">
      <c r="A133" t="s">
        <v>244</v>
      </c>
      <c r="B133" t="s">
        <v>245</v>
      </c>
      <c r="C133">
        <v>7</v>
      </c>
      <c r="D133" t="s">
        <v>12</v>
      </c>
      <c r="E133" t="s">
        <v>102</v>
      </c>
      <c r="F133" t="s">
        <v>23</v>
      </c>
      <c r="G133" s="5">
        <v>46017</v>
      </c>
      <c r="H133" t="str">
        <f t="shared" si="4"/>
        <v>December</v>
      </c>
      <c r="I133" s="5">
        <v>46031</v>
      </c>
      <c r="J133" s="7">
        <f t="shared" si="5"/>
        <v>14</v>
      </c>
      <c r="K133" s="6">
        <v>88074</v>
      </c>
    </row>
    <row r="134" spans="1:11" x14ac:dyDescent="0.3">
      <c r="A134" t="s">
        <v>246</v>
      </c>
      <c r="B134" t="s">
        <v>247</v>
      </c>
      <c r="C134">
        <v>11</v>
      </c>
      <c r="D134" t="s">
        <v>17</v>
      </c>
      <c r="E134" t="s">
        <v>33</v>
      </c>
      <c r="F134" t="s">
        <v>62</v>
      </c>
      <c r="G134" s="5">
        <v>45934</v>
      </c>
      <c r="H134" t="str">
        <f t="shared" si="4"/>
        <v>October</v>
      </c>
      <c r="I134" s="5">
        <v>45942</v>
      </c>
      <c r="J134" s="7">
        <f t="shared" si="5"/>
        <v>8</v>
      </c>
      <c r="K134" s="6">
        <v>85432</v>
      </c>
    </row>
    <row r="135" spans="1:11" x14ac:dyDescent="0.3">
      <c r="A135" t="s">
        <v>248</v>
      </c>
      <c r="B135" t="s">
        <v>249</v>
      </c>
      <c r="C135">
        <v>12</v>
      </c>
      <c r="D135" t="s">
        <v>17</v>
      </c>
      <c r="E135" t="s">
        <v>39</v>
      </c>
      <c r="F135" t="s">
        <v>27</v>
      </c>
      <c r="G135" s="5">
        <v>45849</v>
      </c>
      <c r="H135" t="str">
        <f t="shared" si="4"/>
        <v>July</v>
      </c>
      <c r="I135" s="5">
        <v>45861</v>
      </c>
      <c r="J135" s="7">
        <f t="shared" si="5"/>
        <v>12</v>
      </c>
      <c r="K135" s="6">
        <v>110892</v>
      </c>
    </row>
    <row r="136" spans="1:11" x14ac:dyDescent="0.3">
      <c r="A136" t="s">
        <v>250</v>
      </c>
      <c r="B136" t="s">
        <v>251</v>
      </c>
      <c r="C136">
        <v>38</v>
      </c>
      <c r="D136" t="s">
        <v>12</v>
      </c>
      <c r="E136" t="s">
        <v>102</v>
      </c>
      <c r="F136" t="s">
        <v>19</v>
      </c>
      <c r="G136" s="5">
        <v>45813</v>
      </c>
      <c r="H136" t="str">
        <f t="shared" si="4"/>
        <v>June</v>
      </c>
      <c r="I136" s="5">
        <v>45814</v>
      </c>
      <c r="J136" s="7">
        <f t="shared" si="5"/>
        <v>1</v>
      </c>
      <c r="K136" s="6">
        <v>10032</v>
      </c>
    </row>
    <row r="137" spans="1:11" x14ac:dyDescent="0.3">
      <c r="A137" t="s">
        <v>252</v>
      </c>
      <c r="B137" t="s">
        <v>125</v>
      </c>
      <c r="C137">
        <v>78</v>
      </c>
      <c r="D137" t="s">
        <v>17</v>
      </c>
      <c r="E137" t="s">
        <v>13</v>
      </c>
      <c r="F137" t="s">
        <v>34</v>
      </c>
      <c r="G137" s="5">
        <v>45709</v>
      </c>
      <c r="H137" t="str">
        <f t="shared" si="4"/>
        <v>February</v>
      </c>
      <c r="I137" s="5">
        <v>45719</v>
      </c>
      <c r="J137" s="7">
        <f t="shared" si="5"/>
        <v>10</v>
      </c>
      <c r="K137" s="6">
        <v>57670</v>
      </c>
    </row>
    <row r="138" spans="1:11" x14ac:dyDescent="0.3">
      <c r="A138" t="s">
        <v>253</v>
      </c>
      <c r="B138" t="s">
        <v>187</v>
      </c>
      <c r="C138">
        <v>27</v>
      </c>
      <c r="D138" t="s">
        <v>12</v>
      </c>
      <c r="E138" t="s">
        <v>30</v>
      </c>
      <c r="F138" t="s">
        <v>62</v>
      </c>
      <c r="G138" s="5">
        <v>45919</v>
      </c>
      <c r="H138" t="str">
        <f t="shared" si="4"/>
        <v>September</v>
      </c>
      <c r="I138" s="5">
        <v>45933</v>
      </c>
      <c r="J138" s="7">
        <f t="shared" si="5"/>
        <v>14</v>
      </c>
      <c r="K138" s="6">
        <v>66682</v>
      </c>
    </row>
    <row r="139" spans="1:11" x14ac:dyDescent="0.3">
      <c r="A139" t="s">
        <v>254</v>
      </c>
      <c r="B139" t="s">
        <v>171</v>
      </c>
      <c r="C139">
        <v>60</v>
      </c>
      <c r="D139" t="s">
        <v>12</v>
      </c>
      <c r="E139" t="s">
        <v>33</v>
      </c>
      <c r="F139" t="s">
        <v>34</v>
      </c>
      <c r="G139" s="5">
        <v>45741</v>
      </c>
      <c r="H139" t="str">
        <f t="shared" si="4"/>
        <v>March</v>
      </c>
      <c r="I139" s="5">
        <v>45743</v>
      </c>
      <c r="J139" s="7">
        <f t="shared" si="5"/>
        <v>2</v>
      </c>
      <c r="K139" s="6">
        <v>8792</v>
      </c>
    </row>
    <row r="140" spans="1:11" x14ac:dyDescent="0.3">
      <c r="A140" t="s">
        <v>255</v>
      </c>
      <c r="B140" t="s">
        <v>256</v>
      </c>
      <c r="C140">
        <v>65</v>
      </c>
      <c r="D140" t="s">
        <v>12</v>
      </c>
      <c r="E140" t="s">
        <v>13</v>
      </c>
      <c r="F140" t="s">
        <v>59</v>
      </c>
      <c r="G140" s="5">
        <v>45867</v>
      </c>
      <c r="H140" t="str">
        <f t="shared" si="4"/>
        <v>July</v>
      </c>
      <c r="I140" s="5">
        <v>45868</v>
      </c>
      <c r="J140" s="7">
        <f t="shared" si="5"/>
        <v>1</v>
      </c>
      <c r="K140" s="6">
        <v>7452</v>
      </c>
    </row>
    <row r="141" spans="1:11" x14ac:dyDescent="0.3">
      <c r="A141" t="s">
        <v>257</v>
      </c>
      <c r="B141" t="s">
        <v>29</v>
      </c>
      <c r="C141">
        <v>43</v>
      </c>
      <c r="D141" t="s">
        <v>12</v>
      </c>
      <c r="E141" t="s">
        <v>48</v>
      </c>
      <c r="F141" t="s">
        <v>23</v>
      </c>
      <c r="G141" s="5">
        <v>45932</v>
      </c>
      <c r="H141" t="str">
        <f t="shared" si="4"/>
        <v>October</v>
      </c>
      <c r="I141" s="5">
        <v>45936</v>
      </c>
      <c r="J141" s="7">
        <f t="shared" si="5"/>
        <v>4</v>
      </c>
      <c r="K141" s="6">
        <v>17724</v>
      </c>
    </row>
    <row r="142" spans="1:11" x14ac:dyDescent="0.3">
      <c r="A142" t="s">
        <v>258</v>
      </c>
      <c r="B142" t="s">
        <v>259</v>
      </c>
      <c r="C142">
        <v>33</v>
      </c>
      <c r="D142" t="s">
        <v>17</v>
      </c>
      <c r="E142" t="s">
        <v>18</v>
      </c>
      <c r="F142" t="s">
        <v>19</v>
      </c>
      <c r="G142" s="5">
        <v>45928</v>
      </c>
      <c r="H142" t="str">
        <f t="shared" si="4"/>
        <v>September</v>
      </c>
      <c r="I142" s="5">
        <v>45929</v>
      </c>
      <c r="J142" s="7">
        <f t="shared" si="5"/>
        <v>1</v>
      </c>
      <c r="K142" s="6">
        <v>11098</v>
      </c>
    </row>
    <row r="143" spans="1:11" x14ac:dyDescent="0.3">
      <c r="A143" t="s">
        <v>260</v>
      </c>
      <c r="B143" t="s">
        <v>56</v>
      </c>
      <c r="C143">
        <v>58</v>
      </c>
      <c r="D143" t="s">
        <v>17</v>
      </c>
      <c r="E143" t="s">
        <v>30</v>
      </c>
      <c r="F143" t="s">
        <v>27</v>
      </c>
      <c r="G143" s="5">
        <v>45825</v>
      </c>
      <c r="H143" t="str">
        <f t="shared" si="4"/>
        <v>June</v>
      </c>
      <c r="I143" s="5">
        <v>45840</v>
      </c>
      <c r="J143" s="7">
        <f t="shared" si="5"/>
        <v>15</v>
      </c>
      <c r="K143" s="6">
        <v>119145</v>
      </c>
    </row>
    <row r="144" spans="1:11" x14ac:dyDescent="0.3">
      <c r="A144" t="s">
        <v>261</v>
      </c>
      <c r="B144" t="s">
        <v>93</v>
      </c>
      <c r="C144">
        <v>63</v>
      </c>
      <c r="D144" t="s">
        <v>17</v>
      </c>
      <c r="E144" t="s">
        <v>26</v>
      </c>
      <c r="F144" t="s">
        <v>34</v>
      </c>
      <c r="G144" s="5">
        <v>45926</v>
      </c>
      <c r="H144" t="str">
        <f t="shared" si="4"/>
        <v>September</v>
      </c>
      <c r="I144" s="5">
        <v>45930</v>
      </c>
      <c r="J144" s="7">
        <f t="shared" si="5"/>
        <v>4</v>
      </c>
      <c r="K144" s="6">
        <v>19508</v>
      </c>
    </row>
    <row r="145" spans="1:11" x14ac:dyDescent="0.3">
      <c r="A145" t="s">
        <v>262</v>
      </c>
      <c r="B145" t="s">
        <v>137</v>
      </c>
      <c r="C145">
        <v>38</v>
      </c>
      <c r="D145" t="s">
        <v>17</v>
      </c>
      <c r="E145" t="s">
        <v>30</v>
      </c>
      <c r="F145" t="s">
        <v>14</v>
      </c>
      <c r="G145" s="5">
        <v>45829</v>
      </c>
      <c r="H145" t="str">
        <f t="shared" si="4"/>
        <v>June</v>
      </c>
      <c r="I145" s="5">
        <v>45836</v>
      </c>
      <c r="J145" s="7">
        <f t="shared" si="5"/>
        <v>7</v>
      </c>
      <c r="K145" s="6">
        <v>66661</v>
      </c>
    </row>
    <row r="146" spans="1:11" x14ac:dyDescent="0.3">
      <c r="A146" t="s">
        <v>263</v>
      </c>
      <c r="B146" t="s">
        <v>264</v>
      </c>
      <c r="C146">
        <v>38</v>
      </c>
      <c r="D146" t="s">
        <v>17</v>
      </c>
      <c r="E146" t="s">
        <v>30</v>
      </c>
      <c r="F146" t="s">
        <v>62</v>
      </c>
      <c r="G146" s="5">
        <v>45853</v>
      </c>
      <c r="H146" t="str">
        <f t="shared" si="4"/>
        <v>July</v>
      </c>
      <c r="I146" s="5">
        <v>45854</v>
      </c>
      <c r="J146" s="7">
        <f t="shared" si="5"/>
        <v>1</v>
      </c>
      <c r="K146" s="6">
        <v>8065</v>
      </c>
    </row>
    <row r="147" spans="1:11" x14ac:dyDescent="0.3">
      <c r="A147" t="s">
        <v>265</v>
      </c>
      <c r="B147" t="s">
        <v>247</v>
      </c>
      <c r="C147">
        <v>87</v>
      </c>
      <c r="D147" t="s">
        <v>12</v>
      </c>
      <c r="E147" t="s">
        <v>18</v>
      </c>
      <c r="F147" t="s">
        <v>14</v>
      </c>
      <c r="G147" s="5">
        <v>45993</v>
      </c>
      <c r="H147" t="str">
        <f t="shared" si="4"/>
        <v>December</v>
      </c>
      <c r="I147" s="5">
        <v>46005</v>
      </c>
      <c r="J147" s="7">
        <f t="shared" si="5"/>
        <v>12</v>
      </c>
      <c r="K147" s="6">
        <v>77064</v>
      </c>
    </row>
    <row r="148" spans="1:11" x14ac:dyDescent="0.3">
      <c r="A148" t="s">
        <v>266</v>
      </c>
      <c r="B148" t="s">
        <v>267</v>
      </c>
      <c r="C148">
        <v>35</v>
      </c>
      <c r="D148" t="s">
        <v>17</v>
      </c>
      <c r="E148" t="s">
        <v>22</v>
      </c>
      <c r="F148" t="s">
        <v>34</v>
      </c>
      <c r="G148" s="5">
        <v>45899</v>
      </c>
      <c r="H148" t="str">
        <f t="shared" si="4"/>
        <v>August</v>
      </c>
      <c r="I148" s="5">
        <v>45912</v>
      </c>
      <c r="J148" s="7">
        <f t="shared" si="5"/>
        <v>13</v>
      </c>
      <c r="K148" s="6">
        <v>131391</v>
      </c>
    </row>
    <row r="149" spans="1:11" x14ac:dyDescent="0.3">
      <c r="A149" t="s">
        <v>268</v>
      </c>
      <c r="B149" t="s">
        <v>29</v>
      </c>
      <c r="C149">
        <v>82</v>
      </c>
      <c r="D149" t="s">
        <v>12</v>
      </c>
      <c r="E149" t="s">
        <v>18</v>
      </c>
      <c r="F149" t="s">
        <v>14</v>
      </c>
      <c r="G149" s="5">
        <v>45664</v>
      </c>
      <c r="H149" t="str">
        <f t="shared" si="4"/>
        <v>January</v>
      </c>
      <c r="I149" s="5">
        <v>45678</v>
      </c>
      <c r="J149" s="7">
        <f t="shared" si="5"/>
        <v>14</v>
      </c>
      <c r="K149" s="6">
        <v>157808</v>
      </c>
    </row>
    <row r="150" spans="1:11" x14ac:dyDescent="0.3">
      <c r="A150" t="s">
        <v>269</v>
      </c>
      <c r="B150" t="s">
        <v>132</v>
      </c>
      <c r="C150">
        <v>15</v>
      </c>
      <c r="D150" t="s">
        <v>12</v>
      </c>
      <c r="E150" t="s">
        <v>45</v>
      </c>
      <c r="F150" t="s">
        <v>19</v>
      </c>
      <c r="G150" s="5">
        <v>45972</v>
      </c>
      <c r="H150" t="str">
        <f t="shared" si="4"/>
        <v>November</v>
      </c>
      <c r="I150" s="5">
        <v>45985</v>
      </c>
      <c r="J150" s="7">
        <f t="shared" si="5"/>
        <v>13</v>
      </c>
      <c r="K150" s="6">
        <v>64142</v>
      </c>
    </row>
    <row r="151" spans="1:11" x14ac:dyDescent="0.3">
      <c r="A151" t="s">
        <v>270</v>
      </c>
      <c r="B151" t="s">
        <v>47</v>
      </c>
      <c r="C151">
        <v>20</v>
      </c>
      <c r="D151" t="s">
        <v>12</v>
      </c>
      <c r="E151" t="s">
        <v>33</v>
      </c>
      <c r="F151" t="s">
        <v>62</v>
      </c>
      <c r="G151" s="5">
        <v>45743</v>
      </c>
      <c r="H151" t="str">
        <f t="shared" si="4"/>
        <v>March</v>
      </c>
      <c r="I151" s="5">
        <v>45752</v>
      </c>
      <c r="J151" s="7">
        <f t="shared" si="5"/>
        <v>9</v>
      </c>
      <c r="K151" s="6">
        <v>97470</v>
      </c>
    </row>
    <row r="152" spans="1:11" x14ac:dyDescent="0.3">
      <c r="A152" t="s">
        <v>271</v>
      </c>
      <c r="B152" t="s">
        <v>36</v>
      </c>
      <c r="C152">
        <v>73</v>
      </c>
      <c r="D152" t="s">
        <v>17</v>
      </c>
      <c r="E152" t="s">
        <v>102</v>
      </c>
      <c r="F152" t="s">
        <v>19</v>
      </c>
      <c r="G152" s="5">
        <v>45698</v>
      </c>
      <c r="H152" t="str">
        <f t="shared" si="4"/>
        <v>February</v>
      </c>
      <c r="I152" s="5">
        <v>45699</v>
      </c>
      <c r="J152" s="7">
        <f t="shared" si="5"/>
        <v>1</v>
      </c>
      <c r="K152" s="6">
        <v>10280</v>
      </c>
    </row>
    <row r="153" spans="1:11" x14ac:dyDescent="0.3">
      <c r="A153" t="s">
        <v>272</v>
      </c>
      <c r="B153" t="s">
        <v>273</v>
      </c>
      <c r="C153">
        <v>81</v>
      </c>
      <c r="D153" t="s">
        <v>12</v>
      </c>
      <c r="E153" t="s">
        <v>39</v>
      </c>
      <c r="F153" t="s">
        <v>59</v>
      </c>
      <c r="G153" s="5">
        <v>45990</v>
      </c>
      <c r="H153" t="str">
        <f t="shared" si="4"/>
        <v>November</v>
      </c>
      <c r="I153" s="5">
        <v>46000</v>
      </c>
      <c r="J153" s="7">
        <f t="shared" si="5"/>
        <v>10</v>
      </c>
      <c r="K153" s="6">
        <v>62580</v>
      </c>
    </row>
    <row r="154" spans="1:11" x14ac:dyDescent="0.3">
      <c r="A154" t="s">
        <v>274</v>
      </c>
      <c r="B154" t="s">
        <v>275</v>
      </c>
      <c r="C154">
        <v>32</v>
      </c>
      <c r="D154" t="s">
        <v>17</v>
      </c>
      <c r="E154" t="s">
        <v>30</v>
      </c>
      <c r="F154" t="s">
        <v>27</v>
      </c>
      <c r="G154" s="5">
        <v>45984</v>
      </c>
      <c r="H154" t="str">
        <f t="shared" si="4"/>
        <v>November</v>
      </c>
      <c r="I154" s="5">
        <v>45994</v>
      </c>
      <c r="J154" s="7">
        <f t="shared" si="5"/>
        <v>10</v>
      </c>
      <c r="K154" s="6">
        <v>88870</v>
      </c>
    </row>
    <row r="155" spans="1:11" x14ac:dyDescent="0.3">
      <c r="A155" t="s">
        <v>276</v>
      </c>
      <c r="B155" t="s">
        <v>249</v>
      </c>
      <c r="C155">
        <v>60</v>
      </c>
      <c r="D155" t="s">
        <v>12</v>
      </c>
      <c r="E155" t="s">
        <v>39</v>
      </c>
      <c r="F155" t="s">
        <v>19</v>
      </c>
      <c r="G155" s="5">
        <v>45814</v>
      </c>
      <c r="H155" t="str">
        <f t="shared" si="4"/>
        <v>June</v>
      </c>
      <c r="I155" s="5">
        <v>45824</v>
      </c>
      <c r="J155" s="7">
        <f t="shared" si="5"/>
        <v>10</v>
      </c>
      <c r="K155" s="6">
        <v>49760</v>
      </c>
    </row>
    <row r="156" spans="1:11" x14ac:dyDescent="0.3">
      <c r="A156" t="s">
        <v>277</v>
      </c>
      <c r="B156" t="s">
        <v>36</v>
      </c>
      <c r="C156">
        <v>43</v>
      </c>
      <c r="D156" t="s">
        <v>17</v>
      </c>
      <c r="E156" t="s">
        <v>45</v>
      </c>
      <c r="F156" t="s">
        <v>27</v>
      </c>
      <c r="G156" s="5">
        <v>45696</v>
      </c>
      <c r="H156" t="str">
        <f t="shared" si="4"/>
        <v>February</v>
      </c>
      <c r="I156" s="5">
        <v>45697</v>
      </c>
      <c r="J156" s="7">
        <f t="shared" si="5"/>
        <v>1</v>
      </c>
      <c r="K156" s="6">
        <v>4027</v>
      </c>
    </row>
    <row r="157" spans="1:11" x14ac:dyDescent="0.3">
      <c r="A157" t="s">
        <v>278</v>
      </c>
      <c r="B157" t="s">
        <v>127</v>
      </c>
      <c r="C157">
        <v>75</v>
      </c>
      <c r="D157" t="s">
        <v>12</v>
      </c>
      <c r="E157" t="s">
        <v>33</v>
      </c>
      <c r="F157" t="s">
        <v>42</v>
      </c>
      <c r="G157" s="5">
        <v>45997</v>
      </c>
      <c r="H157" t="str">
        <f t="shared" si="4"/>
        <v>December</v>
      </c>
      <c r="I157" s="5">
        <v>46009</v>
      </c>
      <c r="J157" s="7">
        <f t="shared" si="5"/>
        <v>12</v>
      </c>
      <c r="K157" s="6">
        <v>128676</v>
      </c>
    </row>
    <row r="158" spans="1:11" x14ac:dyDescent="0.3">
      <c r="A158" t="s">
        <v>279</v>
      </c>
      <c r="B158" t="s">
        <v>187</v>
      </c>
      <c r="C158">
        <v>41</v>
      </c>
      <c r="D158" t="s">
        <v>17</v>
      </c>
      <c r="E158" t="s">
        <v>102</v>
      </c>
      <c r="F158" t="s">
        <v>42</v>
      </c>
      <c r="G158" s="5">
        <v>45924</v>
      </c>
      <c r="H158" t="str">
        <f t="shared" si="4"/>
        <v>September</v>
      </c>
      <c r="I158" s="5">
        <v>45934</v>
      </c>
      <c r="J158" s="7">
        <f t="shared" si="5"/>
        <v>10</v>
      </c>
      <c r="K158" s="6">
        <v>105720</v>
      </c>
    </row>
    <row r="159" spans="1:11" x14ac:dyDescent="0.3">
      <c r="A159" t="s">
        <v>280</v>
      </c>
      <c r="B159" t="s">
        <v>11</v>
      </c>
      <c r="C159">
        <v>32</v>
      </c>
      <c r="D159" t="s">
        <v>17</v>
      </c>
      <c r="E159" t="s">
        <v>18</v>
      </c>
      <c r="F159" t="s">
        <v>59</v>
      </c>
      <c r="G159" s="5">
        <v>45679</v>
      </c>
      <c r="H159" t="str">
        <f t="shared" si="4"/>
        <v>January</v>
      </c>
      <c r="I159" s="5">
        <v>45687</v>
      </c>
      <c r="J159" s="7">
        <f t="shared" si="5"/>
        <v>8</v>
      </c>
      <c r="K159" s="6">
        <v>38632</v>
      </c>
    </row>
    <row r="160" spans="1:11" x14ac:dyDescent="0.3">
      <c r="A160" t="s">
        <v>281</v>
      </c>
      <c r="B160" t="s">
        <v>247</v>
      </c>
      <c r="C160">
        <v>55</v>
      </c>
      <c r="D160" t="s">
        <v>17</v>
      </c>
      <c r="E160" t="s">
        <v>102</v>
      </c>
      <c r="F160" t="s">
        <v>27</v>
      </c>
      <c r="G160" s="5">
        <v>45830</v>
      </c>
      <c r="H160" t="str">
        <f t="shared" si="4"/>
        <v>June</v>
      </c>
      <c r="I160" s="5">
        <v>45843</v>
      </c>
      <c r="J160" s="7">
        <f t="shared" si="5"/>
        <v>13</v>
      </c>
      <c r="K160" s="6">
        <v>68185</v>
      </c>
    </row>
    <row r="161" spans="1:11" x14ac:dyDescent="0.3">
      <c r="A161" t="s">
        <v>282</v>
      </c>
      <c r="B161" t="s">
        <v>283</v>
      </c>
      <c r="C161">
        <v>37</v>
      </c>
      <c r="D161" t="s">
        <v>17</v>
      </c>
      <c r="E161" t="s">
        <v>26</v>
      </c>
      <c r="F161" t="s">
        <v>62</v>
      </c>
      <c r="G161" s="5">
        <v>45915</v>
      </c>
      <c r="H161" t="str">
        <f t="shared" si="4"/>
        <v>September</v>
      </c>
      <c r="I161" s="5">
        <v>45925</v>
      </c>
      <c r="J161" s="7">
        <f t="shared" si="5"/>
        <v>10</v>
      </c>
      <c r="K161" s="6">
        <v>109920</v>
      </c>
    </row>
    <row r="162" spans="1:11" x14ac:dyDescent="0.3">
      <c r="A162" t="s">
        <v>284</v>
      </c>
      <c r="B162" t="s">
        <v>220</v>
      </c>
      <c r="C162">
        <v>9</v>
      </c>
      <c r="D162" t="s">
        <v>17</v>
      </c>
      <c r="E162" t="s">
        <v>30</v>
      </c>
      <c r="F162" t="s">
        <v>42</v>
      </c>
      <c r="G162" s="5">
        <v>45862</v>
      </c>
      <c r="H162" t="str">
        <f t="shared" si="4"/>
        <v>July</v>
      </c>
      <c r="I162" s="5">
        <v>45867</v>
      </c>
      <c r="J162" s="7">
        <f t="shared" si="5"/>
        <v>5</v>
      </c>
      <c r="K162" s="6">
        <v>23120</v>
      </c>
    </row>
    <row r="163" spans="1:11" x14ac:dyDescent="0.3">
      <c r="A163" t="s">
        <v>285</v>
      </c>
      <c r="B163" t="s">
        <v>41</v>
      </c>
      <c r="C163">
        <v>53</v>
      </c>
      <c r="D163" t="s">
        <v>17</v>
      </c>
      <c r="E163" t="s">
        <v>45</v>
      </c>
      <c r="F163" t="s">
        <v>19</v>
      </c>
      <c r="G163" s="5">
        <v>45930</v>
      </c>
      <c r="H163" t="str">
        <f t="shared" si="4"/>
        <v>September</v>
      </c>
      <c r="I163" s="5">
        <v>45941</v>
      </c>
      <c r="J163" s="7">
        <f t="shared" si="5"/>
        <v>11</v>
      </c>
      <c r="K163" s="6">
        <v>106755</v>
      </c>
    </row>
    <row r="164" spans="1:11" x14ac:dyDescent="0.3">
      <c r="A164" t="s">
        <v>286</v>
      </c>
      <c r="B164" t="s">
        <v>78</v>
      </c>
      <c r="C164">
        <v>75</v>
      </c>
      <c r="D164" t="s">
        <v>17</v>
      </c>
      <c r="E164" t="s">
        <v>30</v>
      </c>
      <c r="F164" t="s">
        <v>19</v>
      </c>
      <c r="G164" s="5">
        <v>45711</v>
      </c>
      <c r="H164" t="str">
        <f t="shared" si="4"/>
        <v>February</v>
      </c>
      <c r="I164" s="5">
        <v>45726</v>
      </c>
      <c r="J164" s="7">
        <f t="shared" si="5"/>
        <v>15</v>
      </c>
      <c r="K164" s="6">
        <v>164280</v>
      </c>
    </row>
    <row r="165" spans="1:11" x14ac:dyDescent="0.3">
      <c r="A165" t="s">
        <v>287</v>
      </c>
      <c r="B165" t="s">
        <v>288</v>
      </c>
      <c r="C165">
        <v>21</v>
      </c>
      <c r="D165" t="s">
        <v>12</v>
      </c>
      <c r="E165" t="s">
        <v>18</v>
      </c>
      <c r="F165" t="s">
        <v>14</v>
      </c>
      <c r="G165" s="5">
        <v>45768</v>
      </c>
      <c r="H165" t="str">
        <f t="shared" si="4"/>
        <v>April</v>
      </c>
      <c r="I165" s="5">
        <v>45770</v>
      </c>
      <c r="J165" s="7">
        <f t="shared" si="5"/>
        <v>2</v>
      </c>
      <c r="K165" s="6">
        <v>20326</v>
      </c>
    </row>
    <row r="166" spans="1:11" x14ac:dyDescent="0.3">
      <c r="A166" t="s">
        <v>289</v>
      </c>
      <c r="B166" t="s">
        <v>16</v>
      </c>
      <c r="C166">
        <v>60</v>
      </c>
      <c r="D166" t="s">
        <v>12</v>
      </c>
      <c r="E166" t="s">
        <v>18</v>
      </c>
      <c r="F166" t="s">
        <v>27</v>
      </c>
      <c r="G166" s="5">
        <v>45806</v>
      </c>
      <c r="H166" t="str">
        <f t="shared" si="4"/>
        <v>May</v>
      </c>
      <c r="I166" s="5">
        <v>45814</v>
      </c>
      <c r="J166" s="7">
        <f t="shared" si="5"/>
        <v>8</v>
      </c>
      <c r="K166" s="6">
        <v>77664</v>
      </c>
    </row>
    <row r="167" spans="1:11" x14ac:dyDescent="0.3">
      <c r="A167" t="s">
        <v>290</v>
      </c>
      <c r="B167" t="s">
        <v>58</v>
      </c>
      <c r="C167">
        <v>79</v>
      </c>
      <c r="D167" t="s">
        <v>12</v>
      </c>
      <c r="E167" t="s">
        <v>26</v>
      </c>
      <c r="F167" t="s">
        <v>23</v>
      </c>
      <c r="G167" s="5">
        <v>45963</v>
      </c>
      <c r="H167" t="str">
        <f t="shared" si="4"/>
        <v>November</v>
      </c>
      <c r="I167" s="5">
        <v>45973</v>
      </c>
      <c r="J167" s="7">
        <f t="shared" si="5"/>
        <v>10</v>
      </c>
      <c r="K167" s="6">
        <v>72930</v>
      </c>
    </row>
    <row r="168" spans="1:11" x14ac:dyDescent="0.3">
      <c r="A168" t="s">
        <v>291</v>
      </c>
      <c r="B168" t="s">
        <v>142</v>
      </c>
      <c r="C168">
        <v>36</v>
      </c>
      <c r="D168" t="s">
        <v>12</v>
      </c>
      <c r="E168" t="s">
        <v>102</v>
      </c>
      <c r="F168" t="s">
        <v>23</v>
      </c>
      <c r="G168" s="5">
        <v>45856</v>
      </c>
      <c r="H168" t="str">
        <f t="shared" si="4"/>
        <v>July</v>
      </c>
      <c r="I168" s="5">
        <v>45858</v>
      </c>
      <c r="J168" s="7">
        <f t="shared" si="5"/>
        <v>2</v>
      </c>
      <c r="K168" s="6">
        <v>22000</v>
      </c>
    </row>
    <row r="169" spans="1:11" x14ac:dyDescent="0.3">
      <c r="A169" t="s">
        <v>292</v>
      </c>
      <c r="B169" t="s">
        <v>64</v>
      </c>
      <c r="C169">
        <v>13</v>
      </c>
      <c r="D169" t="s">
        <v>12</v>
      </c>
      <c r="E169" t="s">
        <v>22</v>
      </c>
      <c r="F169" t="s">
        <v>27</v>
      </c>
      <c r="G169" s="5">
        <v>45780</v>
      </c>
      <c r="H169" t="str">
        <f t="shared" si="4"/>
        <v>May</v>
      </c>
      <c r="I169" s="5">
        <v>45782</v>
      </c>
      <c r="J169" s="7">
        <f t="shared" si="5"/>
        <v>2</v>
      </c>
      <c r="K169" s="6">
        <v>21068</v>
      </c>
    </row>
    <row r="170" spans="1:11" x14ac:dyDescent="0.3">
      <c r="A170" t="s">
        <v>293</v>
      </c>
      <c r="B170" t="s">
        <v>294</v>
      </c>
      <c r="C170">
        <v>54</v>
      </c>
      <c r="D170" t="s">
        <v>12</v>
      </c>
      <c r="E170" t="s">
        <v>26</v>
      </c>
      <c r="F170" t="s">
        <v>27</v>
      </c>
      <c r="G170" s="5">
        <v>45832</v>
      </c>
      <c r="H170" t="str">
        <f t="shared" si="4"/>
        <v>June</v>
      </c>
      <c r="I170" s="5">
        <v>45845</v>
      </c>
      <c r="J170" s="7">
        <f t="shared" si="5"/>
        <v>13</v>
      </c>
      <c r="K170" s="6">
        <v>96122</v>
      </c>
    </row>
    <row r="171" spans="1:11" x14ac:dyDescent="0.3">
      <c r="A171" t="s">
        <v>295</v>
      </c>
      <c r="B171" t="s">
        <v>137</v>
      </c>
      <c r="C171">
        <v>69</v>
      </c>
      <c r="D171" t="s">
        <v>17</v>
      </c>
      <c r="E171" t="s">
        <v>22</v>
      </c>
      <c r="F171" t="s">
        <v>34</v>
      </c>
      <c r="G171" s="5">
        <v>45794</v>
      </c>
      <c r="H171" t="str">
        <f t="shared" si="4"/>
        <v>May</v>
      </c>
      <c r="I171" s="5">
        <v>45800</v>
      </c>
      <c r="J171" s="7">
        <f t="shared" si="5"/>
        <v>6</v>
      </c>
      <c r="K171" s="6">
        <v>30552</v>
      </c>
    </row>
    <row r="172" spans="1:11" x14ac:dyDescent="0.3">
      <c r="A172" t="s">
        <v>296</v>
      </c>
      <c r="B172" t="s">
        <v>297</v>
      </c>
      <c r="C172">
        <v>20</v>
      </c>
      <c r="D172" t="s">
        <v>17</v>
      </c>
      <c r="E172" t="s">
        <v>102</v>
      </c>
      <c r="F172" t="s">
        <v>14</v>
      </c>
      <c r="G172" s="5">
        <v>45940</v>
      </c>
      <c r="H172" t="str">
        <f t="shared" si="4"/>
        <v>October</v>
      </c>
      <c r="I172" s="5">
        <v>45950</v>
      </c>
      <c r="J172" s="7">
        <f t="shared" si="5"/>
        <v>10</v>
      </c>
      <c r="K172" s="6">
        <v>118350</v>
      </c>
    </row>
    <row r="173" spans="1:11" x14ac:dyDescent="0.3">
      <c r="A173" t="s">
        <v>298</v>
      </c>
      <c r="B173" t="s">
        <v>154</v>
      </c>
      <c r="C173">
        <v>11</v>
      </c>
      <c r="D173" t="s">
        <v>17</v>
      </c>
      <c r="E173" t="s">
        <v>39</v>
      </c>
      <c r="F173" t="s">
        <v>19</v>
      </c>
      <c r="G173" s="5">
        <v>45912</v>
      </c>
      <c r="H173" t="str">
        <f t="shared" si="4"/>
        <v>September</v>
      </c>
      <c r="I173" s="5">
        <v>45913</v>
      </c>
      <c r="J173" s="7">
        <f t="shared" si="5"/>
        <v>1</v>
      </c>
      <c r="K173" s="6">
        <v>10102</v>
      </c>
    </row>
    <row r="174" spans="1:11" x14ac:dyDescent="0.3">
      <c r="A174" t="s">
        <v>299</v>
      </c>
      <c r="B174" t="s">
        <v>249</v>
      </c>
      <c r="C174">
        <v>31</v>
      </c>
      <c r="D174" t="s">
        <v>17</v>
      </c>
      <c r="E174" t="s">
        <v>45</v>
      </c>
      <c r="F174" t="s">
        <v>19</v>
      </c>
      <c r="G174" s="5">
        <v>45815</v>
      </c>
      <c r="H174" t="str">
        <f t="shared" si="4"/>
        <v>June</v>
      </c>
      <c r="I174" s="5">
        <v>45828</v>
      </c>
      <c r="J174" s="7">
        <f t="shared" si="5"/>
        <v>13</v>
      </c>
      <c r="K174" s="6">
        <v>96876</v>
      </c>
    </row>
    <row r="175" spans="1:11" x14ac:dyDescent="0.3">
      <c r="A175" t="s">
        <v>300</v>
      </c>
      <c r="B175" t="s">
        <v>301</v>
      </c>
      <c r="C175">
        <v>80</v>
      </c>
      <c r="D175" t="s">
        <v>12</v>
      </c>
      <c r="E175" t="s">
        <v>33</v>
      </c>
      <c r="F175" t="s">
        <v>34</v>
      </c>
      <c r="G175" s="5">
        <v>45797</v>
      </c>
      <c r="H175" t="str">
        <f t="shared" si="4"/>
        <v>May</v>
      </c>
      <c r="I175" s="5">
        <v>45812</v>
      </c>
      <c r="J175" s="7">
        <f t="shared" si="5"/>
        <v>15</v>
      </c>
      <c r="K175" s="6">
        <v>107970</v>
      </c>
    </row>
    <row r="176" spans="1:11" x14ac:dyDescent="0.3">
      <c r="A176" t="s">
        <v>302</v>
      </c>
      <c r="B176" t="s">
        <v>303</v>
      </c>
      <c r="C176">
        <v>34</v>
      </c>
      <c r="D176" t="s">
        <v>12</v>
      </c>
      <c r="E176" t="s">
        <v>22</v>
      </c>
      <c r="F176" t="s">
        <v>42</v>
      </c>
      <c r="G176" s="5">
        <v>45705</v>
      </c>
      <c r="H176" t="str">
        <f t="shared" si="4"/>
        <v>February</v>
      </c>
      <c r="I176" s="5">
        <v>45706</v>
      </c>
      <c r="J176" s="7">
        <f t="shared" si="5"/>
        <v>1</v>
      </c>
      <c r="K176" s="6">
        <v>7615</v>
      </c>
    </row>
    <row r="177" spans="1:11" x14ac:dyDescent="0.3">
      <c r="A177" t="s">
        <v>304</v>
      </c>
      <c r="B177" t="s">
        <v>112</v>
      </c>
      <c r="C177">
        <v>24</v>
      </c>
      <c r="D177" t="s">
        <v>17</v>
      </c>
      <c r="E177" t="s">
        <v>33</v>
      </c>
      <c r="F177" t="s">
        <v>23</v>
      </c>
      <c r="G177" s="5">
        <v>45770</v>
      </c>
      <c r="H177" t="str">
        <f t="shared" si="4"/>
        <v>April</v>
      </c>
      <c r="I177" s="5">
        <v>45776</v>
      </c>
      <c r="J177" s="7">
        <f t="shared" si="5"/>
        <v>6</v>
      </c>
      <c r="K177" s="6">
        <v>51642</v>
      </c>
    </row>
    <row r="178" spans="1:11" x14ac:dyDescent="0.3">
      <c r="A178" t="s">
        <v>305</v>
      </c>
      <c r="B178" t="s">
        <v>306</v>
      </c>
      <c r="C178">
        <v>58</v>
      </c>
      <c r="D178" t="s">
        <v>12</v>
      </c>
      <c r="E178" t="s">
        <v>13</v>
      </c>
      <c r="F178" t="s">
        <v>14</v>
      </c>
      <c r="G178" s="5">
        <v>45839</v>
      </c>
      <c r="H178" t="str">
        <f t="shared" si="4"/>
        <v>July</v>
      </c>
      <c r="I178" s="5">
        <v>45847</v>
      </c>
      <c r="J178" s="7">
        <f t="shared" si="5"/>
        <v>8</v>
      </c>
      <c r="K178" s="6">
        <v>54784</v>
      </c>
    </row>
    <row r="179" spans="1:11" x14ac:dyDescent="0.3">
      <c r="A179" t="s">
        <v>307</v>
      </c>
      <c r="B179" t="s">
        <v>308</v>
      </c>
      <c r="C179">
        <v>6</v>
      </c>
      <c r="D179" t="s">
        <v>12</v>
      </c>
      <c r="E179" t="s">
        <v>102</v>
      </c>
      <c r="F179" t="s">
        <v>34</v>
      </c>
      <c r="G179" s="5">
        <v>45795</v>
      </c>
      <c r="H179" t="str">
        <f t="shared" si="4"/>
        <v>May</v>
      </c>
      <c r="I179" s="5">
        <v>45804</v>
      </c>
      <c r="J179" s="7">
        <f t="shared" si="5"/>
        <v>9</v>
      </c>
      <c r="K179" s="6">
        <v>63108</v>
      </c>
    </row>
    <row r="180" spans="1:11" x14ac:dyDescent="0.3">
      <c r="A180" t="s">
        <v>309</v>
      </c>
      <c r="B180" t="s">
        <v>306</v>
      </c>
      <c r="C180">
        <v>57</v>
      </c>
      <c r="D180" t="s">
        <v>12</v>
      </c>
      <c r="E180" t="s">
        <v>13</v>
      </c>
      <c r="F180" t="s">
        <v>27</v>
      </c>
      <c r="G180" s="5">
        <v>45761</v>
      </c>
      <c r="H180" t="str">
        <f t="shared" si="4"/>
        <v>April</v>
      </c>
      <c r="I180" s="5">
        <v>45774</v>
      </c>
      <c r="J180" s="7">
        <f t="shared" si="5"/>
        <v>13</v>
      </c>
      <c r="K180" s="6">
        <v>117442</v>
      </c>
    </row>
    <row r="181" spans="1:11" x14ac:dyDescent="0.3">
      <c r="A181" t="s">
        <v>310</v>
      </c>
      <c r="B181" t="s">
        <v>297</v>
      </c>
      <c r="C181">
        <v>57</v>
      </c>
      <c r="D181" t="s">
        <v>12</v>
      </c>
      <c r="E181" t="s">
        <v>39</v>
      </c>
      <c r="F181" t="s">
        <v>59</v>
      </c>
      <c r="G181" s="5">
        <v>45751</v>
      </c>
      <c r="H181" t="str">
        <f t="shared" si="4"/>
        <v>April</v>
      </c>
      <c r="I181" s="5">
        <v>45762</v>
      </c>
      <c r="J181" s="7">
        <f t="shared" si="5"/>
        <v>11</v>
      </c>
      <c r="K181" s="6">
        <v>101497</v>
      </c>
    </row>
    <row r="182" spans="1:11" x14ac:dyDescent="0.3">
      <c r="A182" t="s">
        <v>311</v>
      </c>
      <c r="B182" t="s">
        <v>312</v>
      </c>
      <c r="C182">
        <v>64</v>
      </c>
      <c r="D182" t="s">
        <v>12</v>
      </c>
      <c r="E182" t="s">
        <v>22</v>
      </c>
      <c r="F182" t="s">
        <v>62</v>
      </c>
      <c r="G182" s="5">
        <v>45658</v>
      </c>
      <c r="H182" t="str">
        <f t="shared" si="4"/>
        <v>January</v>
      </c>
      <c r="I182" s="5">
        <v>45659</v>
      </c>
      <c r="J182" s="7">
        <f t="shared" si="5"/>
        <v>1</v>
      </c>
      <c r="K182" s="6">
        <v>6285</v>
      </c>
    </row>
    <row r="183" spans="1:11" x14ac:dyDescent="0.3">
      <c r="A183" t="s">
        <v>313</v>
      </c>
      <c r="B183" t="s">
        <v>52</v>
      </c>
      <c r="C183">
        <v>42</v>
      </c>
      <c r="D183" t="s">
        <v>12</v>
      </c>
      <c r="E183" t="s">
        <v>45</v>
      </c>
      <c r="F183" t="s">
        <v>34</v>
      </c>
      <c r="G183" s="5">
        <v>45887</v>
      </c>
      <c r="H183" t="str">
        <f t="shared" si="4"/>
        <v>August</v>
      </c>
      <c r="I183" s="5">
        <v>45889</v>
      </c>
      <c r="J183" s="7">
        <f t="shared" si="5"/>
        <v>2</v>
      </c>
      <c r="K183" s="6">
        <v>21100</v>
      </c>
    </row>
    <row r="184" spans="1:11" x14ac:dyDescent="0.3">
      <c r="A184" t="s">
        <v>314</v>
      </c>
      <c r="B184" t="s">
        <v>38</v>
      </c>
      <c r="C184">
        <v>82</v>
      </c>
      <c r="D184" t="s">
        <v>12</v>
      </c>
      <c r="E184" t="s">
        <v>48</v>
      </c>
      <c r="F184" t="s">
        <v>14</v>
      </c>
      <c r="G184" s="5">
        <v>45682</v>
      </c>
      <c r="H184" t="str">
        <f t="shared" si="4"/>
        <v>January</v>
      </c>
      <c r="I184" s="5">
        <v>45693</v>
      </c>
      <c r="J184" s="7">
        <f t="shared" si="5"/>
        <v>11</v>
      </c>
      <c r="K184" s="6">
        <v>98329</v>
      </c>
    </row>
    <row r="185" spans="1:11" x14ac:dyDescent="0.3">
      <c r="A185" t="s">
        <v>315</v>
      </c>
      <c r="B185" t="s">
        <v>100</v>
      </c>
      <c r="C185">
        <v>90</v>
      </c>
      <c r="D185" t="s">
        <v>12</v>
      </c>
      <c r="E185" t="s">
        <v>33</v>
      </c>
      <c r="F185" t="s">
        <v>27</v>
      </c>
      <c r="G185" s="5">
        <v>45870</v>
      </c>
      <c r="H185" t="str">
        <f t="shared" si="4"/>
        <v>August</v>
      </c>
      <c r="I185" s="5">
        <v>45876</v>
      </c>
      <c r="J185" s="7">
        <f t="shared" si="5"/>
        <v>6</v>
      </c>
      <c r="K185" s="6">
        <v>29844</v>
      </c>
    </row>
    <row r="186" spans="1:11" x14ac:dyDescent="0.3">
      <c r="A186" t="s">
        <v>316</v>
      </c>
      <c r="B186" t="s">
        <v>203</v>
      </c>
      <c r="C186">
        <v>77</v>
      </c>
      <c r="D186" t="s">
        <v>12</v>
      </c>
      <c r="E186" t="s">
        <v>45</v>
      </c>
      <c r="F186" t="s">
        <v>34</v>
      </c>
      <c r="G186" s="5">
        <v>45880</v>
      </c>
      <c r="H186" t="str">
        <f t="shared" si="4"/>
        <v>August</v>
      </c>
      <c r="I186" s="5">
        <v>45895</v>
      </c>
      <c r="J186" s="7">
        <f t="shared" si="5"/>
        <v>15</v>
      </c>
      <c r="K186" s="6">
        <v>68805</v>
      </c>
    </row>
    <row r="187" spans="1:11" x14ac:dyDescent="0.3">
      <c r="A187" t="s">
        <v>317</v>
      </c>
      <c r="B187" t="s">
        <v>247</v>
      </c>
      <c r="C187">
        <v>74</v>
      </c>
      <c r="D187" t="s">
        <v>12</v>
      </c>
      <c r="E187" t="s">
        <v>33</v>
      </c>
      <c r="F187" t="s">
        <v>42</v>
      </c>
      <c r="G187" s="5">
        <v>45771</v>
      </c>
      <c r="H187" t="str">
        <f t="shared" si="4"/>
        <v>April</v>
      </c>
      <c r="I187" s="5">
        <v>45784</v>
      </c>
      <c r="J187" s="7">
        <f t="shared" si="5"/>
        <v>13</v>
      </c>
      <c r="K187" s="6">
        <v>54574</v>
      </c>
    </row>
    <row r="188" spans="1:11" x14ac:dyDescent="0.3">
      <c r="A188" t="s">
        <v>318</v>
      </c>
      <c r="B188" t="s">
        <v>236</v>
      </c>
      <c r="C188">
        <v>53</v>
      </c>
      <c r="D188" t="s">
        <v>12</v>
      </c>
      <c r="E188" t="s">
        <v>30</v>
      </c>
      <c r="F188" t="s">
        <v>23</v>
      </c>
      <c r="G188" s="5">
        <v>45691</v>
      </c>
      <c r="H188" t="str">
        <f t="shared" si="4"/>
        <v>February</v>
      </c>
      <c r="I188" s="5">
        <v>45692</v>
      </c>
      <c r="J188" s="7">
        <f t="shared" si="5"/>
        <v>1</v>
      </c>
      <c r="K188" s="6">
        <v>4553</v>
      </c>
    </row>
    <row r="189" spans="1:11" x14ac:dyDescent="0.3">
      <c r="A189" t="s">
        <v>319</v>
      </c>
      <c r="B189" t="s">
        <v>47</v>
      </c>
      <c r="C189">
        <v>50</v>
      </c>
      <c r="D189" t="s">
        <v>12</v>
      </c>
      <c r="E189" t="s">
        <v>102</v>
      </c>
      <c r="F189" t="s">
        <v>42</v>
      </c>
      <c r="G189" s="5">
        <v>45714</v>
      </c>
      <c r="H189" t="str">
        <f t="shared" si="4"/>
        <v>February</v>
      </c>
      <c r="I189" s="5">
        <v>45722</v>
      </c>
      <c r="J189" s="7">
        <f t="shared" si="5"/>
        <v>8</v>
      </c>
      <c r="K189" s="6">
        <v>90088</v>
      </c>
    </row>
    <row r="190" spans="1:11" x14ac:dyDescent="0.3">
      <c r="A190" t="s">
        <v>320</v>
      </c>
      <c r="B190" t="s">
        <v>21</v>
      </c>
      <c r="C190">
        <v>59</v>
      </c>
      <c r="D190" t="s">
        <v>17</v>
      </c>
      <c r="E190" t="s">
        <v>45</v>
      </c>
      <c r="F190" t="s">
        <v>14</v>
      </c>
      <c r="G190" s="5">
        <v>45785</v>
      </c>
      <c r="H190" t="str">
        <f t="shared" si="4"/>
        <v>May</v>
      </c>
      <c r="I190" s="5">
        <v>45791</v>
      </c>
      <c r="J190" s="7">
        <f t="shared" si="5"/>
        <v>6</v>
      </c>
      <c r="K190" s="6">
        <v>62226</v>
      </c>
    </row>
    <row r="191" spans="1:11" x14ac:dyDescent="0.3">
      <c r="A191" t="s">
        <v>321</v>
      </c>
      <c r="B191" t="s">
        <v>322</v>
      </c>
      <c r="C191">
        <v>78</v>
      </c>
      <c r="D191" t="s">
        <v>17</v>
      </c>
      <c r="E191" t="s">
        <v>33</v>
      </c>
      <c r="F191" t="s">
        <v>19</v>
      </c>
      <c r="G191" s="5">
        <v>46011</v>
      </c>
      <c r="H191" t="str">
        <f t="shared" si="4"/>
        <v>December</v>
      </c>
      <c r="I191" s="5">
        <v>46021</v>
      </c>
      <c r="J191" s="7">
        <f t="shared" si="5"/>
        <v>10</v>
      </c>
      <c r="K191" s="6">
        <v>98910</v>
      </c>
    </row>
    <row r="192" spans="1:11" x14ac:dyDescent="0.3">
      <c r="A192" t="s">
        <v>323</v>
      </c>
      <c r="B192" t="s">
        <v>36</v>
      </c>
      <c r="C192">
        <v>8</v>
      </c>
      <c r="D192" t="s">
        <v>12</v>
      </c>
      <c r="E192" t="s">
        <v>39</v>
      </c>
      <c r="F192" t="s">
        <v>42</v>
      </c>
      <c r="G192" s="5">
        <v>45787</v>
      </c>
      <c r="H192" t="str">
        <f t="shared" si="4"/>
        <v>May</v>
      </c>
      <c r="I192" s="5">
        <v>45789</v>
      </c>
      <c r="J192" s="7">
        <f t="shared" si="5"/>
        <v>2</v>
      </c>
      <c r="K192" s="6">
        <v>17318</v>
      </c>
    </row>
    <row r="193" spans="1:11" x14ac:dyDescent="0.3">
      <c r="A193" t="s">
        <v>324</v>
      </c>
      <c r="B193" t="s">
        <v>325</v>
      </c>
      <c r="C193">
        <v>81</v>
      </c>
      <c r="D193" t="s">
        <v>17</v>
      </c>
      <c r="E193" t="s">
        <v>26</v>
      </c>
      <c r="F193" t="s">
        <v>59</v>
      </c>
      <c r="G193" s="5">
        <v>45985</v>
      </c>
      <c r="H193" t="str">
        <f t="shared" si="4"/>
        <v>November</v>
      </c>
      <c r="I193" s="5">
        <v>45999</v>
      </c>
      <c r="J193" s="7">
        <f t="shared" si="5"/>
        <v>14</v>
      </c>
      <c r="K193" s="6">
        <v>137214</v>
      </c>
    </row>
    <row r="194" spans="1:11" x14ac:dyDescent="0.3">
      <c r="A194" t="s">
        <v>326</v>
      </c>
      <c r="B194" t="s">
        <v>130</v>
      </c>
      <c r="C194">
        <v>42</v>
      </c>
      <c r="D194" t="s">
        <v>12</v>
      </c>
      <c r="E194" t="s">
        <v>13</v>
      </c>
      <c r="F194" t="s">
        <v>62</v>
      </c>
      <c r="G194" s="5">
        <v>45783</v>
      </c>
      <c r="H194" t="str">
        <f t="shared" ref="H194:H257" si="6">TEXT(G194,"mmmm")</f>
        <v>May</v>
      </c>
      <c r="I194" s="5">
        <v>45787</v>
      </c>
      <c r="J194" s="7">
        <f t="shared" si="5"/>
        <v>4</v>
      </c>
      <c r="K194" s="6">
        <v>27892</v>
      </c>
    </row>
    <row r="195" spans="1:11" x14ac:dyDescent="0.3">
      <c r="A195" t="s">
        <v>327</v>
      </c>
      <c r="B195" t="s">
        <v>247</v>
      </c>
      <c r="C195">
        <v>3</v>
      </c>
      <c r="D195" t="s">
        <v>12</v>
      </c>
      <c r="E195" t="s">
        <v>13</v>
      </c>
      <c r="F195" t="s">
        <v>19</v>
      </c>
      <c r="G195" s="5">
        <v>45855</v>
      </c>
      <c r="H195" t="str">
        <f t="shared" si="6"/>
        <v>July</v>
      </c>
      <c r="I195" s="5">
        <v>45864</v>
      </c>
      <c r="J195" s="7">
        <f t="shared" ref="J195:J258" si="7">I195-G195</f>
        <v>9</v>
      </c>
      <c r="K195" s="6">
        <v>105759</v>
      </c>
    </row>
    <row r="196" spans="1:11" x14ac:dyDescent="0.3">
      <c r="A196" t="s">
        <v>328</v>
      </c>
      <c r="B196" t="s">
        <v>36</v>
      </c>
      <c r="C196">
        <v>66</v>
      </c>
      <c r="D196" t="s">
        <v>17</v>
      </c>
      <c r="E196" t="s">
        <v>30</v>
      </c>
      <c r="F196" t="s">
        <v>14</v>
      </c>
      <c r="G196" s="5">
        <v>45896</v>
      </c>
      <c r="H196" t="str">
        <f t="shared" si="6"/>
        <v>August</v>
      </c>
      <c r="I196" s="5">
        <v>45898</v>
      </c>
      <c r="J196" s="7">
        <f t="shared" si="7"/>
        <v>2</v>
      </c>
      <c r="K196" s="6">
        <v>14852</v>
      </c>
    </row>
    <row r="197" spans="1:11" x14ac:dyDescent="0.3">
      <c r="A197" t="s">
        <v>329</v>
      </c>
      <c r="B197" t="s">
        <v>330</v>
      </c>
      <c r="C197">
        <v>50</v>
      </c>
      <c r="D197" t="s">
        <v>17</v>
      </c>
      <c r="E197" t="s">
        <v>48</v>
      </c>
      <c r="F197" t="s">
        <v>34</v>
      </c>
      <c r="G197" s="5">
        <v>45660</v>
      </c>
      <c r="H197" t="str">
        <f t="shared" si="6"/>
        <v>January</v>
      </c>
      <c r="I197" s="5">
        <v>45661</v>
      </c>
      <c r="J197" s="7">
        <f t="shared" si="7"/>
        <v>1</v>
      </c>
      <c r="K197" s="6">
        <v>8781</v>
      </c>
    </row>
    <row r="198" spans="1:11" x14ac:dyDescent="0.3">
      <c r="A198" t="s">
        <v>331</v>
      </c>
      <c r="B198" t="s">
        <v>82</v>
      </c>
      <c r="C198">
        <v>43</v>
      </c>
      <c r="D198" t="s">
        <v>17</v>
      </c>
      <c r="E198" t="s">
        <v>26</v>
      </c>
      <c r="F198" t="s">
        <v>42</v>
      </c>
      <c r="G198" s="5">
        <v>45849</v>
      </c>
      <c r="H198" t="str">
        <f t="shared" si="6"/>
        <v>July</v>
      </c>
      <c r="I198" s="5">
        <v>45852</v>
      </c>
      <c r="J198" s="7">
        <f t="shared" si="7"/>
        <v>3</v>
      </c>
      <c r="K198" s="6">
        <v>25155</v>
      </c>
    </row>
    <row r="199" spans="1:11" x14ac:dyDescent="0.3">
      <c r="A199" t="s">
        <v>332</v>
      </c>
      <c r="B199" t="s">
        <v>312</v>
      </c>
      <c r="C199">
        <v>61</v>
      </c>
      <c r="D199" t="s">
        <v>12</v>
      </c>
      <c r="E199" t="s">
        <v>26</v>
      </c>
      <c r="F199" t="s">
        <v>19</v>
      </c>
      <c r="G199" s="5">
        <v>45901</v>
      </c>
      <c r="H199" t="str">
        <f t="shared" si="6"/>
        <v>September</v>
      </c>
      <c r="I199" s="5">
        <v>45902</v>
      </c>
      <c r="J199" s="7">
        <f t="shared" si="7"/>
        <v>1</v>
      </c>
      <c r="K199" s="6">
        <v>4394</v>
      </c>
    </row>
    <row r="200" spans="1:11" x14ac:dyDescent="0.3">
      <c r="A200" t="s">
        <v>333</v>
      </c>
      <c r="B200" t="s">
        <v>334</v>
      </c>
      <c r="C200">
        <v>17</v>
      </c>
      <c r="D200" t="s">
        <v>17</v>
      </c>
      <c r="E200" t="s">
        <v>39</v>
      </c>
      <c r="F200" t="s">
        <v>23</v>
      </c>
      <c r="G200" s="5">
        <v>45705</v>
      </c>
      <c r="H200" t="str">
        <f t="shared" si="6"/>
        <v>February</v>
      </c>
      <c r="I200" s="5">
        <v>45719</v>
      </c>
      <c r="J200" s="7">
        <f t="shared" si="7"/>
        <v>14</v>
      </c>
      <c r="K200" s="6">
        <v>88060</v>
      </c>
    </row>
    <row r="201" spans="1:11" x14ac:dyDescent="0.3">
      <c r="A201" t="s">
        <v>335</v>
      </c>
      <c r="B201" t="s">
        <v>47</v>
      </c>
      <c r="C201">
        <v>47</v>
      </c>
      <c r="D201" t="s">
        <v>12</v>
      </c>
      <c r="E201" t="s">
        <v>26</v>
      </c>
      <c r="F201" t="s">
        <v>42</v>
      </c>
      <c r="G201" s="5">
        <v>45718</v>
      </c>
      <c r="H201" t="str">
        <f t="shared" si="6"/>
        <v>March</v>
      </c>
      <c r="I201" s="5">
        <v>45724</v>
      </c>
      <c r="J201" s="7">
        <f t="shared" si="7"/>
        <v>6</v>
      </c>
      <c r="K201" s="6">
        <v>64974</v>
      </c>
    </row>
    <row r="202" spans="1:11" x14ac:dyDescent="0.3">
      <c r="A202" t="s">
        <v>336</v>
      </c>
      <c r="B202" t="s">
        <v>247</v>
      </c>
      <c r="C202">
        <v>65</v>
      </c>
      <c r="D202" t="s">
        <v>17</v>
      </c>
      <c r="E202" t="s">
        <v>13</v>
      </c>
      <c r="F202" t="s">
        <v>14</v>
      </c>
      <c r="G202" s="5">
        <v>45752</v>
      </c>
      <c r="H202" t="str">
        <f t="shared" si="6"/>
        <v>April</v>
      </c>
      <c r="I202" s="5">
        <v>45755</v>
      </c>
      <c r="J202" s="7">
        <f t="shared" si="7"/>
        <v>3</v>
      </c>
      <c r="K202" s="6">
        <v>31710</v>
      </c>
    </row>
    <row r="203" spans="1:11" x14ac:dyDescent="0.3">
      <c r="A203" t="s">
        <v>337</v>
      </c>
      <c r="B203" t="s">
        <v>112</v>
      </c>
      <c r="C203">
        <v>6</v>
      </c>
      <c r="D203" t="s">
        <v>17</v>
      </c>
      <c r="E203" t="s">
        <v>13</v>
      </c>
      <c r="F203" t="s">
        <v>59</v>
      </c>
      <c r="G203" s="5">
        <v>45906</v>
      </c>
      <c r="H203" t="str">
        <f t="shared" si="6"/>
        <v>September</v>
      </c>
      <c r="I203" s="5">
        <v>45908</v>
      </c>
      <c r="J203" s="7">
        <f t="shared" si="7"/>
        <v>2</v>
      </c>
      <c r="K203" s="6">
        <v>15488</v>
      </c>
    </row>
    <row r="204" spans="1:11" x14ac:dyDescent="0.3">
      <c r="A204" t="s">
        <v>338</v>
      </c>
      <c r="B204" t="s">
        <v>120</v>
      </c>
      <c r="C204">
        <v>61</v>
      </c>
      <c r="D204" t="s">
        <v>17</v>
      </c>
      <c r="E204" t="s">
        <v>26</v>
      </c>
      <c r="F204" t="s">
        <v>19</v>
      </c>
      <c r="G204" s="5">
        <v>45872</v>
      </c>
      <c r="H204" t="str">
        <f t="shared" si="6"/>
        <v>August</v>
      </c>
      <c r="I204" s="5">
        <v>45879</v>
      </c>
      <c r="J204" s="7">
        <f t="shared" si="7"/>
        <v>7</v>
      </c>
      <c r="K204" s="6">
        <v>45703</v>
      </c>
    </row>
    <row r="205" spans="1:11" x14ac:dyDescent="0.3">
      <c r="A205" t="s">
        <v>339</v>
      </c>
      <c r="B205" t="s">
        <v>123</v>
      </c>
      <c r="C205">
        <v>2</v>
      </c>
      <c r="D205" t="s">
        <v>17</v>
      </c>
      <c r="E205" t="s">
        <v>18</v>
      </c>
      <c r="F205" t="s">
        <v>19</v>
      </c>
      <c r="G205" s="5">
        <v>45904</v>
      </c>
      <c r="H205" t="str">
        <f t="shared" si="6"/>
        <v>September</v>
      </c>
      <c r="I205" s="5">
        <v>45916</v>
      </c>
      <c r="J205" s="7">
        <f t="shared" si="7"/>
        <v>12</v>
      </c>
      <c r="K205" s="6">
        <v>70200</v>
      </c>
    </row>
    <row r="206" spans="1:11" x14ac:dyDescent="0.3">
      <c r="A206" t="s">
        <v>340</v>
      </c>
      <c r="B206" t="s">
        <v>341</v>
      </c>
      <c r="C206">
        <v>46</v>
      </c>
      <c r="D206" t="s">
        <v>12</v>
      </c>
      <c r="E206" t="s">
        <v>48</v>
      </c>
      <c r="F206" t="s">
        <v>62</v>
      </c>
      <c r="G206" s="5">
        <v>45938</v>
      </c>
      <c r="H206" t="str">
        <f t="shared" si="6"/>
        <v>October</v>
      </c>
      <c r="I206" s="5">
        <v>45951</v>
      </c>
      <c r="J206" s="7">
        <f t="shared" si="7"/>
        <v>13</v>
      </c>
      <c r="K206" s="6">
        <v>78728</v>
      </c>
    </row>
    <row r="207" spans="1:11" x14ac:dyDescent="0.3">
      <c r="A207" t="s">
        <v>342</v>
      </c>
      <c r="B207" t="s">
        <v>343</v>
      </c>
      <c r="C207">
        <v>1</v>
      </c>
      <c r="D207" t="s">
        <v>12</v>
      </c>
      <c r="E207" t="s">
        <v>48</v>
      </c>
      <c r="F207" t="s">
        <v>23</v>
      </c>
      <c r="G207" s="5">
        <v>45956</v>
      </c>
      <c r="H207" t="str">
        <f t="shared" si="6"/>
        <v>October</v>
      </c>
      <c r="I207" s="5">
        <v>45969</v>
      </c>
      <c r="J207" s="7">
        <f t="shared" si="7"/>
        <v>13</v>
      </c>
      <c r="K207" s="6">
        <v>153309</v>
      </c>
    </row>
    <row r="208" spans="1:11" x14ac:dyDescent="0.3">
      <c r="A208" t="s">
        <v>344</v>
      </c>
      <c r="B208" t="s">
        <v>345</v>
      </c>
      <c r="C208">
        <v>90</v>
      </c>
      <c r="D208" t="s">
        <v>17</v>
      </c>
      <c r="E208" t="s">
        <v>33</v>
      </c>
      <c r="F208" t="s">
        <v>19</v>
      </c>
      <c r="G208" s="5">
        <v>46021</v>
      </c>
      <c r="H208" t="str">
        <f t="shared" si="6"/>
        <v>December</v>
      </c>
      <c r="I208" s="5">
        <v>46031</v>
      </c>
      <c r="J208" s="7">
        <f t="shared" si="7"/>
        <v>10</v>
      </c>
      <c r="K208" s="6">
        <v>48780</v>
      </c>
    </row>
    <row r="209" spans="1:11" x14ac:dyDescent="0.3">
      <c r="A209" t="s">
        <v>346</v>
      </c>
      <c r="B209" t="s">
        <v>343</v>
      </c>
      <c r="C209">
        <v>32</v>
      </c>
      <c r="D209" t="s">
        <v>17</v>
      </c>
      <c r="E209" t="s">
        <v>22</v>
      </c>
      <c r="F209" t="s">
        <v>34</v>
      </c>
      <c r="G209" s="5">
        <v>45779</v>
      </c>
      <c r="H209" t="str">
        <f t="shared" si="6"/>
        <v>May</v>
      </c>
      <c r="I209" s="5">
        <v>45782</v>
      </c>
      <c r="J209" s="7">
        <f t="shared" si="7"/>
        <v>3</v>
      </c>
      <c r="K209" s="6">
        <v>32331</v>
      </c>
    </row>
    <row r="210" spans="1:11" x14ac:dyDescent="0.3">
      <c r="A210" t="s">
        <v>347</v>
      </c>
      <c r="B210" t="s">
        <v>259</v>
      </c>
      <c r="C210">
        <v>15</v>
      </c>
      <c r="D210" t="s">
        <v>12</v>
      </c>
      <c r="E210" t="s">
        <v>13</v>
      </c>
      <c r="F210" t="s">
        <v>62</v>
      </c>
      <c r="G210" s="5">
        <v>45887</v>
      </c>
      <c r="H210" t="str">
        <f t="shared" si="6"/>
        <v>August</v>
      </c>
      <c r="I210" s="5">
        <v>45888</v>
      </c>
      <c r="J210" s="7">
        <f t="shared" si="7"/>
        <v>1</v>
      </c>
      <c r="K210" s="6">
        <v>4411</v>
      </c>
    </row>
    <row r="211" spans="1:11" x14ac:dyDescent="0.3">
      <c r="A211" t="s">
        <v>348</v>
      </c>
      <c r="B211" t="s">
        <v>209</v>
      </c>
      <c r="C211">
        <v>85</v>
      </c>
      <c r="D211" t="s">
        <v>12</v>
      </c>
      <c r="E211" t="s">
        <v>18</v>
      </c>
      <c r="F211" t="s">
        <v>42</v>
      </c>
      <c r="G211" s="5">
        <v>45878</v>
      </c>
      <c r="H211" t="str">
        <f t="shared" si="6"/>
        <v>August</v>
      </c>
      <c r="I211" s="5">
        <v>45885</v>
      </c>
      <c r="J211" s="7">
        <f t="shared" si="7"/>
        <v>7</v>
      </c>
      <c r="K211" s="6">
        <v>71785</v>
      </c>
    </row>
    <row r="212" spans="1:11" x14ac:dyDescent="0.3">
      <c r="A212" t="s">
        <v>349</v>
      </c>
      <c r="B212" t="s">
        <v>181</v>
      </c>
      <c r="C212">
        <v>58</v>
      </c>
      <c r="D212" t="s">
        <v>17</v>
      </c>
      <c r="E212" t="s">
        <v>33</v>
      </c>
      <c r="F212" t="s">
        <v>19</v>
      </c>
      <c r="G212" s="5">
        <v>45888</v>
      </c>
      <c r="H212" t="str">
        <f t="shared" si="6"/>
        <v>August</v>
      </c>
      <c r="I212" s="5">
        <v>45899</v>
      </c>
      <c r="J212" s="7">
        <f t="shared" si="7"/>
        <v>11</v>
      </c>
      <c r="K212" s="6">
        <v>47817</v>
      </c>
    </row>
    <row r="213" spans="1:11" x14ac:dyDescent="0.3">
      <c r="A213" t="s">
        <v>350</v>
      </c>
      <c r="B213" t="s">
        <v>56</v>
      </c>
      <c r="C213">
        <v>40</v>
      </c>
      <c r="D213" t="s">
        <v>12</v>
      </c>
      <c r="E213" t="s">
        <v>30</v>
      </c>
      <c r="F213" t="s">
        <v>14</v>
      </c>
      <c r="G213" s="5">
        <v>45915</v>
      </c>
      <c r="H213" t="str">
        <f t="shared" si="6"/>
        <v>September</v>
      </c>
      <c r="I213" s="5">
        <v>45921</v>
      </c>
      <c r="J213" s="7">
        <f t="shared" si="7"/>
        <v>6</v>
      </c>
      <c r="K213" s="6">
        <v>33822</v>
      </c>
    </row>
    <row r="214" spans="1:11" x14ac:dyDescent="0.3">
      <c r="A214" t="s">
        <v>351</v>
      </c>
      <c r="B214" t="s">
        <v>11</v>
      </c>
      <c r="C214">
        <v>86</v>
      </c>
      <c r="D214" t="s">
        <v>12</v>
      </c>
      <c r="E214" t="s">
        <v>33</v>
      </c>
      <c r="F214" t="s">
        <v>23</v>
      </c>
      <c r="G214" s="5">
        <v>45924</v>
      </c>
      <c r="H214" t="str">
        <f t="shared" si="6"/>
        <v>September</v>
      </c>
      <c r="I214" s="5">
        <v>45936</v>
      </c>
      <c r="J214" s="7">
        <f t="shared" si="7"/>
        <v>12</v>
      </c>
      <c r="K214" s="6">
        <v>63108</v>
      </c>
    </row>
    <row r="215" spans="1:11" x14ac:dyDescent="0.3">
      <c r="A215" t="s">
        <v>352</v>
      </c>
      <c r="B215" t="s">
        <v>353</v>
      </c>
      <c r="C215">
        <v>56</v>
      </c>
      <c r="D215" t="s">
        <v>17</v>
      </c>
      <c r="E215" t="s">
        <v>22</v>
      </c>
      <c r="F215" t="s">
        <v>23</v>
      </c>
      <c r="G215" s="5">
        <v>45974</v>
      </c>
      <c r="H215" t="str">
        <f t="shared" si="6"/>
        <v>November</v>
      </c>
      <c r="I215" s="5">
        <v>45988</v>
      </c>
      <c r="J215" s="7">
        <f t="shared" si="7"/>
        <v>14</v>
      </c>
      <c r="K215" s="6">
        <v>151760</v>
      </c>
    </row>
    <row r="216" spans="1:11" x14ac:dyDescent="0.3">
      <c r="A216" t="s">
        <v>354</v>
      </c>
      <c r="B216" t="s">
        <v>168</v>
      </c>
      <c r="C216">
        <v>34</v>
      </c>
      <c r="D216" t="s">
        <v>12</v>
      </c>
      <c r="E216" t="s">
        <v>30</v>
      </c>
      <c r="F216" t="s">
        <v>42</v>
      </c>
      <c r="G216" s="5">
        <v>45819</v>
      </c>
      <c r="H216" t="str">
        <f t="shared" si="6"/>
        <v>June</v>
      </c>
      <c r="I216" s="5">
        <v>45834</v>
      </c>
      <c r="J216" s="7">
        <f t="shared" si="7"/>
        <v>15</v>
      </c>
      <c r="K216" s="6">
        <v>93975</v>
      </c>
    </row>
    <row r="217" spans="1:11" x14ac:dyDescent="0.3">
      <c r="A217" t="s">
        <v>355</v>
      </c>
      <c r="B217" t="s">
        <v>297</v>
      </c>
      <c r="C217">
        <v>10</v>
      </c>
      <c r="D217" t="s">
        <v>12</v>
      </c>
      <c r="E217" t="s">
        <v>26</v>
      </c>
      <c r="F217" t="s">
        <v>59</v>
      </c>
      <c r="G217" s="5">
        <v>45765</v>
      </c>
      <c r="H217" t="str">
        <f t="shared" si="6"/>
        <v>April</v>
      </c>
      <c r="I217" s="5">
        <v>45768</v>
      </c>
      <c r="J217" s="7">
        <f t="shared" si="7"/>
        <v>3</v>
      </c>
      <c r="K217" s="6">
        <v>13113</v>
      </c>
    </row>
    <row r="218" spans="1:11" x14ac:dyDescent="0.3">
      <c r="A218" t="s">
        <v>356</v>
      </c>
      <c r="B218" t="s">
        <v>189</v>
      </c>
      <c r="C218">
        <v>45</v>
      </c>
      <c r="D218" t="s">
        <v>17</v>
      </c>
      <c r="E218" t="s">
        <v>26</v>
      </c>
      <c r="F218" t="s">
        <v>34</v>
      </c>
      <c r="G218" s="5">
        <v>45989</v>
      </c>
      <c r="H218" t="str">
        <f t="shared" si="6"/>
        <v>November</v>
      </c>
      <c r="I218" s="5">
        <v>46004</v>
      </c>
      <c r="J218" s="7">
        <f t="shared" si="7"/>
        <v>15</v>
      </c>
      <c r="K218" s="6">
        <v>115785</v>
      </c>
    </row>
    <row r="219" spans="1:11" x14ac:dyDescent="0.3">
      <c r="A219" t="s">
        <v>357</v>
      </c>
      <c r="B219" t="s">
        <v>256</v>
      </c>
      <c r="C219">
        <v>49</v>
      </c>
      <c r="D219" t="s">
        <v>12</v>
      </c>
      <c r="E219" t="s">
        <v>30</v>
      </c>
      <c r="F219" t="s">
        <v>23</v>
      </c>
      <c r="G219" s="5">
        <v>45738</v>
      </c>
      <c r="H219" t="str">
        <f t="shared" si="6"/>
        <v>March</v>
      </c>
      <c r="I219" s="5">
        <v>45739</v>
      </c>
      <c r="J219" s="7">
        <f t="shared" si="7"/>
        <v>1</v>
      </c>
      <c r="K219" s="6">
        <v>11189</v>
      </c>
    </row>
    <row r="220" spans="1:11" x14ac:dyDescent="0.3">
      <c r="A220" t="s">
        <v>358</v>
      </c>
      <c r="B220" t="s">
        <v>130</v>
      </c>
      <c r="C220">
        <v>78</v>
      </c>
      <c r="D220" t="s">
        <v>12</v>
      </c>
      <c r="E220" t="s">
        <v>13</v>
      </c>
      <c r="F220" t="s">
        <v>62</v>
      </c>
      <c r="G220" s="5">
        <v>45921</v>
      </c>
      <c r="H220" t="str">
        <f t="shared" si="6"/>
        <v>September</v>
      </c>
      <c r="I220" s="5">
        <v>45926</v>
      </c>
      <c r="J220" s="7">
        <f t="shared" si="7"/>
        <v>5</v>
      </c>
      <c r="K220" s="6">
        <v>26350</v>
      </c>
    </row>
    <row r="221" spans="1:11" x14ac:dyDescent="0.3">
      <c r="A221" t="s">
        <v>359</v>
      </c>
      <c r="B221" t="s">
        <v>47</v>
      </c>
      <c r="C221">
        <v>7</v>
      </c>
      <c r="D221" t="s">
        <v>12</v>
      </c>
      <c r="E221" t="s">
        <v>39</v>
      </c>
      <c r="F221" t="s">
        <v>62</v>
      </c>
      <c r="G221" s="5">
        <v>45963</v>
      </c>
      <c r="H221" t="str">
        <f t="shared" si="6"/>
        <v>November</v>
      </c>
      <c r="I221" s="5">
        <v>45964</v>
      </c>
      <c r="J221" s="7">
        <f t="shared" si="7"/>
        <v>1</v>
      </c>
      <c r="K221" s="6">
        <v>9122</v>
      </c>
    </row>
    <row r="222" spans="1:11" x14ac:dyDescent="0.3">
      <c r="A222" t="s">
        <v>360</v>
      </c>
      <c r="B222" t="s">
        <v>361</v>
      </c>
      <c r="C222">
        <v>6</v>
      </c>
      <c r="D222" t="s">
        <v>17</v>
      </c>
      <c r="E222" t="s">
        <v>102</v>
      </c>
      <c r="F222" t="s">
        <v>27</v>
      </c>
      <c r="G222" s="5">
        <v>45988</v>
      </c>
      <c r="H222" t="str">
        <f t="shared" si="6"/>
        <v>November</v>
      </c>
      <c r="I222" s="5">
        <v>46001</v>
      </c>
      <c r="J222" s="7">
        <f t="shared" si="7"/>
        <v>13</v>
      </c>
      <c r="K222" s="6">
        <v>142142</v>
      </c>
    </row>
    <row r="223" spans="1:11" x14ac:dyDescent="0.3">
      <c r="A223" t="s">
        <v>362</v>
      </c>
      <c r="B223" t="s">
        <v>86</v>
      </c>
      <c r="C223">
        <v>74</v>
      </c>
      <c r="D223" t="s">
        <v>12</v>
      </c>
      <c r="E223" t="s">
        <v>39</v>
      </c>
      <c r="F223" t="s">
        <v>27</v>
      </c>
      <c r="G223" s="5">
        <v>45760</v>
      </c>
      <c r="H223" t="str">
        <f t="shared" si="6"/>
        <v>April</v>
      </c>
      <c r="I223" s="5">
        <v>45764</v>
      </c>
      <c r="J223" s="7">
        <f t="shared" si="7"/>
        <v>4</v>
      </c>
      <c r="K223" s="6">
        <v>27460</v>
      </c>
    </row>
    <row r="224" spans="1:11" x14ac:dyDescent="0.3">
      <c r="A224" t="s">
        <v>363</v>
      </c>
      <c r="B224" t="s">
        <v>158</v>
      </c>
      <c r="C224">
        <v>64</v>
      </c>
      <c r="D224" t="s">
        <v>17</v>
      </c>
      <c r="E224" t="s">
        <v>102</v>
      </c>
      <c r="F224" t="s">
        <v>14</v>
      </c>
      <c r="G224" s="5">
        <v>45661</v>
      </c>
      <c r="H224" t="str">
        <f t="shared" si="6"/>
        <v>January</v>
      </c>
      <c r="I224" s="5">
        <v>45668</v>
      </c>
      <c r="J224" s="7">
        <f t="shared" si="7"/>
        <v>7</v>
      </c>
      <c r="K224" s="6">
        <v>82474</v>
      </c>
    </row>
    <row r="225" spans="1:11" x14ac:dyDescent="0.3">
      <c r="A225" t="s">
        <v>364</v>
      </c>
      <c r="B225" t="s">
        <v>89</v>
      </c>
      <c r="C225">
        <v>64</v>
      </c>
      <c r="D225" t="s">
        <v>17</v>
      </c>
      <c r="E225" t="s">
        <v>33</v>
      </c>
      <c r="F225" t="s">
        <v>34</v>
      </c>
      <c r="G225" s="5">
        <v>45973</v>
      </c>
      <c r="H225" t="str">
        <f t="shared" si="6"/>
        <v>November</v>
      </c>
      <c r="I225" s="5">
        <v>45987</v>
      </c>
      <c r="J225" s="7">
        <f t="shared" si="7"/>
        <v>14</v>
      </c>
      <c r="K225" s="6">
        <v>165620</v>
      </c>
    </row>
    <row r="226" spans="1:11" x14ac:dyDescent="0.3">
      <c r="A226" t="s">
        <v>365</v>
      </c>
      <c r="B226" t="s">
        <v>366</v>
      </c>
      <c r="C226">
        <v>22</v>
      </c>
      <c r="D226" t="s">
        <v>17</v>
      </c>
      <c r="E226" t="s">
        <v>39</v>
      </c>
      <c r="F226" t="s">
        <v>59</v>
      </c>
      <c r="G226" s="5">
        <v>45861</v>
      </c>
      <c r="H226" t="str">
        <f t="shared" si="6"/>
        <v>July</v>
      </c>
      <c r="I226" s="5">
        <v>45875</v>
      </c>
      <c r="J226" s="7">
        <f t="shared" si="7"/>
        <v>14</v>
      </c>
      <c r="K226" s="6">
        <v>83230</v>
      </c>
    </row>
    <row r="227" spans="1:11" x14ac:dyDescent="0.3">
      <c r="A227" t="s">
        <v>367</v>
      </c>
      <c r="B227" t="s">
        <v>96</v>
      </c>
      <c r="C227">
        <v>81</v>
      </c>
      <c r="D227" t="s">
        <v>17</v>
      </c>
      <c r="E227" t="s">
        <v>33</v>
      </c>
      <c r="F227" t="s">
        <v>19</v>
      </c>
      <c r="G227" s="5">
        <v>45758</v>
      </c>
      <c r="H227" t="str">
        <f t="shared" si="6"/>
        <v>April</v>
      </c>
      <c r="I227" s="5">
        <v>45768</v>
      </c>
      <c r="J227" s="7">
        <f t="shared" si="7"/>
        <v>10</v>
      </c>
      <c r="K227" s="6">
        <v>103650</v>
      </c>
    </row>
    <row r="228" spans="1:11" x14ac:dyDescent="0.3">
      <c r="A228" t="s">
        <v>368</v>
      </c>
      <c r="B228" t="s">
        <v>148</v>
      </c>
      <c r="C228">
        <v>81</v>
      </c>
      <c r="D228" t="s">
        <v>17</v>
      </c>
      <c r="E228" t="s">
        <v>30</v>
      </c>
      <c r="F228" t="s">
        <v>42</v>
      </c>
      <c r="G228" s="5">
        <v>45939</v>
      </c>
      <c r="H228" t="str">
        <f t="shared" si="6"/>
        <v>October</v>
      </c>
      <c r="I228" s="5">
        <v>45946</v>
      </c>
      <c r="J228" s="7">
        <f t="shared" si="7"/>
        <v>7</v>
      </c>
      <c r="K228" s="6">
        <v>45920</v>
      </c>
    </row>
    <row r="229" spans="1:11" x14ac:dyDescent="0.3">
      <c r="A229" t="s">
        <v>369</v>
      </c>
      <c r="B229" t="s">
        <v>297</v>
      </c>
      <c r="C229">
        <v>14</v>
      </c>
      <c r="D229" t="s">
        <v>12</v>
      </c>
      <c r="E229" t="s">
        <v>33</v>
      </c>
      <c r="F229" t="s">
        <v>19</v>
      </c>
      <c r="G229" s="5">
        <v>45716</v>
      </c>
      <c r="H229" t="str">
        <f t="shared" si="6"/>
        <v>February</v>
      </c>
      <c r="I229" s="5">
        <v>45718</v>
      </c>
      <c r="J229" s="7">
        <f t="shared" si="7"/>
        <v>2</v>
      </c>
      <c r="K229" s="6">
        <v>21776</v>
      </c>
    </row>
    <row r="230" spans="1:11" x14ac:dyDescent="0.3">
      <c r="A230" t="s">
        <v>370</v>
      </c>
      <c r="B230" t="s">
        <v>371</v>
      </c>
      <c r="C230">
        <v>38</v>
      </c>
      <c r="D230" t="s">
        <v>17</v>
      </c>
      <c r="E230" t="s">
        <v>102</v>
      </c>
      <c r="F230" t="s">
        <v>19</v>
      </c>
      <c r="G230" s="5">
        <v>45700</v>
      </c>
      <c r="H230" t="str">
        <f t="shared" si="6"/>
        <v>February</v>
      </c>
      <c r="I230" s="5">
        <v>45711</v>
      </c>
      <c r="J230" s="7">
        <f t="shared" si="7"/>
        <v>11</v>
      </c>
      <c r="K230" s="6">
        <v>96107</v>
      </c>
    </row>
    <row r="231" spans="1:11" x14ac:dyDescent="0.3">
      <c r="A231" t="s">
        <v>372</v>
      </c>
      <c r="B231" t="s">
        <v>118</v>
      </c>
      <c r="C231">
        <v>61</v>
      </c>
      <c r="D231" t="s">
        <v>17</v>
      </c>
      <c r="E231" t="s">
        <v>13</v>
      </c>
      <c r="F231" t="s">
        <v>19</v>
      </c>
      <c r="G231" s="5">
        <v>45925</v>
      </c>
      <c r="H231" t="str">
        <f t="shared" si="6"/>
        <v>September</v>
      </c>
      <c r="I231" s="5">
        <v>45933</v>
      </c>
      <c r="J231" s="7">
        <f t="shared" si="7"/>
        <v>8</v>
      </c>
      <c r="K231" s="6">
        <v>35224</v>
      </c>
    </row>
    <row r="232" spans="1:11" x14ac:dyDescent="0.3">
      <c r="A232" t="s">
        <v>373</v>
      </c>
      <c r="B232" t="s">
        <v>283</v>
      </c>
      <c r="C232">
        <v>64</v>
      </c>
      <c r="D232" t="s">
        <v>12</v>
      </c>
      <c r="E232" t="s">
        <v>13</v>
      </c>
      <c r="F232" t="s">
        <v>42</v>
      </c>
      <c r="G232" s="5">
        <v>45806</v>
      </c>
      <c r="H232" t="str">
        <f t="shared" si="6"/>
        <v>May</v>
      </c>
      <c r="I232" s="5">
        <v>45812</v>
      </c>
      <c r="J232" s="7">
        <f t="shared" si="7"/>
        <v>6</v>
      </c>
      <c r="K232" s="6">
        <v>69918</v>
      </c>
    </row>
    <row r="233" spans="1:11" x14ac:dyDescent="0.3">
      <c r="A233" t="s">
        <v>374</v>
      </c>
      <c r="B233" t="s">
        <v>375</v>
      </c>
      <c r="C233">
        <v>74</v>
      </c>
      <c r="D233" t="s">
        <v>17</v>
      </c>
      <c r="E233" t="s">
        <v>22</v>
      </c>
      <c r="F233" t="s">
        <v>14</v>
      </c>
      <c r="G233" s="5">
        <v>45848</v>
      </c>
      <c r="H233" t="str">
        <f t="shared" si="6"/>
        <v>July</v>
      </c>
      <c r="I233" s="5">
        <v>45862</v>
      </c>
      <c r="J233" s="7">
        <f t="shared" si="7"/>
        <v>14</v>
      </c>
      <c r="K233" s="6">
        <v>56126</v>
      </c>
    </row>
    <row r="234" spans="1:11" x14ac:dyDescent="0.3">
      <c r="A234" t="s">
        <v>376</v>
      </c>
      <c r="B234" t="s">
        <v>377</v>
      </c>
      <c r="C234">
        <v>90</v>
      </c>
      <c r="D234" t="s">
        <v>17</v>
      </c>
      <c r="E234" t="s">
        <v>33</v>
      </c>
      <c r="F234" t="s">
        <v>62</v>
      </c>
      <c r="G234" s="5">
        <v>45977</v>
      </c>
      <c r="H234" t="str">
        <f t="shared" si="6"/>
        <v>November</v>
      </c>
      <c r="I234" s="5">
        <v>45984</v>
      </c>
      <c r="J234" s="7">
        <f t="shared" si="7"/>
        <v>7</v>
      </c>
      <c r="K234" s="6">
        <v>49672</v>
      </c>
    </row>
    <row r="235" spans="1:11" x14ac:dyDescent="0.3">
      <c r="A235" t="s">
        <v>378</v>
      </c>
      <c r="B235" t="s">
        <v>379</v>
      </c>
      <c r="C235">
        <v>30</v>
      </c>
      <c r="D235" t="s">
        <v>17</v>
      </c>
      <c r="E235" t="s">
        <v>33</v>
      </c>
      <c r="F235" t="s">
        <v>62</v>
      </c>
      <c r="G235" s="5">
        <v>45780</v>
      </c>
      <c r="H235" t="str">
        <f t="shared" si="6"/>
        <v>May</v>
      </c>
      <c r="I235" s="5">
        <v>45786</v>
      </c>
      <c r="J235" s="7">
        <f t="shared" si="7"/>
        <v>6</v>
      </c>
      <c r="K235" s="6">
        <v>33180</v>
      </c>
    </row>
    <row r="236" spans="1:11" x14ac:dyDescent="0.3">
      <c r="A236" t="s">
        <v>380</v>
      </c>
      <c r="B236" t="s">
        <v>381</v>
      </c>
      <c r="C236">
        <v>82</v>
      </c>
      <c r="D236" t="s">
        <v>12</v>
      </c>
      <c r="E236" t="s">
        <v>18</v>
      </c>
      <c r="F236" t="s">
        <v>14</v>
      </c>
      <c r="G236" s="5">
        <v>45711</v>
      </c>
      <c r="H236" t="str">
        <f t="shared" si="6"/>
        <v>February</v>
      </c>
      <c r="I236" s="5">
        <v>45720</v>
      </c>
      <c r="J236" s="7">
        <f t="shared" si="7"/>
        <v>9</v>
      </c>
      <c r="K236" s="6">
        <v>74727</v>
      </c>
    </row>
    <row r="237" spans="1:11" x14ac:dyDescent="0.3">
      <c r="A237" t="s">
        <v>382</v>
      </c>
      <c r="B237" t="s">
        <v>38</v>
      </c>
      <c r="C237">
        <v>46</v>
      </c>
      <c r="D237" t="s">
        <v>12</v>
      </c>
      <c r="E237" t="s">
        <v>39</v>
      </c>
      <c r="F237" t="s">
        <v>27</v>
      </c>
      <c r="G237" s="5">
        <v>45832</v>
      </c>
      <c r="H237" t="str">
        <f t="shared" si="6"/>
        <v>June</v>
      </c>
      <c r="I237" s="5">
        <v>45845</v>
      </c>
      <c r="J237" s="7">
        <f t="shared" si="7"/>
        <v>13</v>
      </c>
      <c r="K237" s="6">
        <v>101686</v>
      </c>
    </row>
    <row r="238" spans="1:11" x14ac:dyDescent="0.3">
      <c r="A238" t="s">
        <v>383</v>
      </c>
      <c r="B238" t="s">
        <v>267</v>
      </c>
      <c r="C238">
        <v>66</v>
      </c>
      <c r="D238" t="s">
        <v>12</v>
      </c>
      <c r="E238" t="s">
        <v>39</v>
      </c>
      <c r="F238" t="s">
        <v>19</v>
      </c>
      <c r="G238" s="5">
        <v>45897</v>
      </c>
      <c r="H238" t="str">
        <f t="shared" si="6"/>
        <v>August</v>
      </c>
      <c r="I238" s="5">
        <v>45901</v>
      </c>
      <c r="J238" s="7">
        <f t="shared" si="7"/>
        <v>4</v>
      </c>
      <c r="K238" s="6">
        <v>21512</v>
      </c>
    </row>
    <row r="239" spans="1:11" x14ac:dyDescent="0.3">
      <c r="A239" t="s">
        <v>384</v>
      </c>
      <c r="B239" t="s">
        <v>96</v>
      </c>
      <c r="C239">
        <v>78</v>
      </c>
      <c r="D239" t="s">
        <v>12</v>
      </c>
      <c r="E239" t="s">
        <v>13</v>
      </c>
      <c r="F239" t="s">
        <v>19</v>
      </c>
      <c r="G239" s="5">
        <v>45777</v>
      </c>
      <c r="H239" t="str">
        <f t="shared" si="6"/>
        <v>April</v>
      </c>
      <c r="I239" s="5">
        <v>45781</v>
      </c>
      <c r="J239" s="7">
        <f t="shared" si="7"/>
        <v>4</v>
      </c>
      <c r="K239" s="6">
        <v>27220</v>
      </c>
    </row>
    <row r="240" spans="1:11" x14ac:dyDescent="0.3">
      <c r="A240" t="s">
        <v>385</v>
      </c>
      <c r="B240" t="s">
        <v>196</v>
      </c>
      <c r="C240">
        <v>28</v>
      </c>
      <c r="D240" t="s">
        <v>12</v>
      </c>
      <c r="E240" t="s">
        <v>13</v>
      </c>
      <c r="F240" t="s">
        <v>34</v>
      </c>
      <c r="G240" s="5">
        <v>45696</v>
      </c>
      <c r="H240" t="str">
        <f t="shared" si="6"/>
        <v>February</v>
      </c>
      <c r="I240" s="5">
        <v>45702</v>
      </c>
      <c r="J240" s="7">
        <f t="shared" si="7"/>
        <v>6</v>
      </c>
      <c r="K240" s="6">
        <v>31932</v>
      </c>
    </row>
    <row r="241" spans="1:11" x14ac:dyDescent="0.3">
      <c r="A241" t="s">
        <v>386</v>
      </c>
      <c r="B241" t="s">
        <v>104</v>
      </c>
      <c r="C241">
        <v>89</v>
      </c>
      <c r="D241" t="s">
        <v>17</v>
      </c>
      <c r="E241" t="s">
        <v>22</v>
      </c>
      <c r="F241" t="s">
        <v>19</v>
      </c>
      <c r="G241" s="5">
        <v>45767</v>
      </c>
      <c r="H241" t="str">
        <f t="shared" si="6"/>
        <v>April</v>
      </c>
      <c r="I241" s="5">
        <v>45780</v>
      </c>
      <c r="J241" s="7">
        <f t="shared" si="7"/>
        <v>13</v>
      </c>
      <c r="K241" s="6">
        <v>137436</v>
      </c>
    </row>
    <row r="242" spans="1:11" x14ac:dyDescent="0.3">
      <c r="A242" t="s">
        <v>387</v>
      </c>
      <c r="B242" t="s">
        <v>47</v>
      </c>
      <c r="C242">
        <v>6</v>
      </c>
      <c r="D242" t="s">
        <v>12</v>
      </c>
      <c r="E242" t="s">
        <v>102</v>
      </c>
      <c r="F242" t="s">
        <v>59</v>
      </c>
      <c r="G242" s="5">
        <v>45825</v>
      </c>
      <c r="H242" t="str">
        <f t="shared" si="6"/>
        <v>June</v>
      </c>
      <c r="I242" s="5">
        <v>45840</v>
      </c>
      <c r="J242" s="7">
        <f t="shared" si="7"/>
        <v>15</v>
      </c>
      <c r="K242" s="6">
        <v>165075</v>
      </c>
    </row>
    <row r="243" spans="1:11" x14ac:dyDescent="0.3">
      <c r="A243" t="s">
        <v>388</v>
      </c>
      <c r="B243" t="s">
        <v>377</v>
      </c>
      <c r="C243">
        <v>14</v>
      </c>
      <c r="D243" t="s">
        <v>17</v>
      </c>
      <c r="E243" t="s">
        <v>26</v>
      </c>
      <c r="F243" t="s">
        <v>42</v>
      </c>
      <c r="G243" s="5">
        <v>45948</v>
      </c>
      <c r="H243" t="str">
        <f t="shared" si="6"/>
        <v>October</v>
      </c>
      <c r="I243" s="5">
        <v>45951</v>
      </c>
      <c r="J243" s="7">
        <f t="shared" si="7"/>
        <v>3</v>
      </c>
      <c r="K243" s="6">
        <v>34914</v>
      </c>
    </row>
    <row r="244" spans="1:11" x14ac:dyDescent="0.3">
      <c r="A244" t="s">
        <v>389</v>
      </c>
      <c r="B244" t="s">
        <v>390</v>
      </c>
      <c r="C244">
        <v>24</v>
      </c>
      <c r="D244" t="s">
        <v>12</v>
      </c>
      <c r="E244" t="s">
        <v>39</v>
      </c>
      <c r="F244" t="s">
        <v>27</v>
      </c>
      <c r="G244" s="5">
        <v>45840</v>
      </c>
      <c r="H244" t="str">
        <f t="shared" si="6"/>
        <v>July</v>
      </c>
      <c r="I244" s="5">
        <v>45850</v>
      </c>
      <c r="J244" s="7">
        <f t="shared" si="7"/>
        <v>10</v>
      </c>
      <c r="K244" s="6">
        <v>101050</v>
      </c>
    </row>
    <row r="245" spans="1:11" x14ac:dyDescent="0.3">
      <c r="A245" t="s">
        <v>391</v>
      </c>
      <c r="B245" t="s">
        <v>390</v>
      </c>
      <c r="C245">
        <v>21</v>
      </c>
      <c r="D245" t="s">
        <v>12</v>
      </c>
      <c r="E245" t="s">
        <v>48</v>
      </c>
      <c r="F245" t="s">
        <v>19</v>
      </c>
      <c r="G245" s="5">
        <v>45729</v>
      </c>
      <c r="H245" t="str">
        <f t="shared" si="6"/>
        <v>March</v>
      </c>
      <c r="I245" s="5">
        <v>45740</v>
      </c>
      <c r="J245" s="7">
        <f t="shared" si="7"/>
        <v>11</v>
      </c>
      <c r="K245" s="6">
        <v>107470</v>
      </c>
    </row>
    <row r="246" spans="1:11" x14ac:dyDescent="0.3">
      <c r="A246" t="s">
        <v>392</v>
      </c>
      <c r="B246" t="s">
        <v>241</v>
      </c>
      <c r="C246">
        <v>45</v>
      </c>
      <c r="D246" t="s">
        <v>12</v>
      </c>
      <c r="E246" t="s">
        <v>22</v>
      </c>
      <c r="F246" t="s">
        <v>23</v>
      </c>
      <c r="G246" s="5">
        <v>45680</v>
      </c>
      <c r="H246" t="str">
        <f t="shared" si="6"/>
        <v>January</v>
      </c>
      <c r="I246" s="5">
        <v>45686</v>
      </c>
      <c r="J246" s="7">
        <f t="shared" si="7"/>
        <v>6</v>
      </c>
      <c r="K246" s="6">
        <v>69390</v>
      </c>
    </row>
    <row r="247" spans="1:11" x14ac:dyDescent="0.3">
      <c r="A247" t="s">
        <v>393</v>
      </c>
      <c r="B247" t="s">
        <v>394</v>
      </c>
      <c r="C247">
        <v>61</v>
      </c>
      <c r="D247" t="s">
        <v>17</v>
      </c>
      <c r="E247" t="s">
        <v>39</v>
      </c>
      <c r="F247" t="s">
        <v>62</v>
      </c>
      <c r="G247" s="5">
        <v>45816</v>
      </c>
      <c r="H247" t="str">
        <f t="shared" si="6"/>
        <v>June</v>
      </c>
      <c r="I247" s="5">
        <v>45822</v>
      </c>
      <c r="J247" s="7">
        <f t="shared" si="7"/>
        <v>6</v>
      </c>
      <c r="K247" s="6">
        <v>59136</v>
      </c>
    </row>
    <row r="248" spans="1:11" x14ac:dyDescent="0.3">
      <c r="A248" t="s">
        <v>395</v>
      </c>
      <c r="B248" t="s">
        <v>390</v>
      </c>
      <c r="C248">
        <v>60</v>
      </c>
      <c r="D248" t="s">
        <v>17</v>
      </c>
      <c r="E248" t="s">
        <v>13</v>
      </c>
      <c r="F248" t="s">
        <v>19</v>
      </c>
      <c r="G248" s="5">
        <v>45729</v>
      </c>
      <c r="H248" t="str">
        <f t="shared" si="6"/>
        <v>March</v>
      </c>
      <c r="I248" s="5">
        <v>45742</v>
      </c>
      <c r="J248" s="7">
        <f t="shared" si="7"/>
        <v>13</v>
      </c>
      <c r="K248" s="6">
        <v>109642</v>
      </c>
    </row>
    <row r="249" spans="1:11" x14ac:dyDescent="0.3">
      <c r="A249" t="s">
        <v>396</v>
      </c>
      <c r="B249" t="s">
        <v>397</v>
      </c>
      <c r="C249">
        <v>39</v>
      </c>
      <c r="D249" t="s">
        <v>17</v>
      </c>
      <c r="E249" t="s">
        <v>18</v>
      </c>
      <c r="F249" t="s">
        <v>42</v>
      </c>
      <c r="G249" s="5">
        <v>45886</v>
      </c>
      <c r="H249" t="str">
        <f t="shared" si="6"/>
        <v>August</v>
      </c>
      <c r="I249" s="5">
        <v>45898</v>
      </c>
      <c r="J249" s="7">
        <f t="shared" si="7"/>
        <v>12</v>
      </c>
      <c r="K249" s="6">
        <v>132720</v>
      </c>
    </row>
    <row r="250" spans="1:11" x14ac:dyDescent="0.3">
      <c r="A250" t="s">
        <v>398</v>
      </c>
      <c r="B250" t="s">
        <v>241</v>
      </c>
      <c r="C250">
        <v>57</v>
      </c>
      <c r="D250" t="s">
        <v>12</v>
      </c>
      <c r="E250" t="s">
        <v>22</v>
      </c>
      <c r="F250" t="s">
        <v>19</v>
      </c>
      <c r="G250" s="5">
        <v>45761</v>
      </c>
      <c r="H250" t="str">
        <f t="shared" si="6"/>
        <v>April</v>
      </c>
      <c r="I250" s="5">
        <v>45771</v>
      </c>
      <c r="J250" s="7">
        <f t="shared" si="7"/>
        <v>10</v>
      </c>
      <c r="K250" s="6">
        <v>97240</v>
      </c>
    </row>
    <row r="251" spans="1:11" x14ac:dyDescent="0.3">
      <c r="A251" t="s">
        <v>399</v>
      </c>
      <c r="B251" t="s">
        <v>288</v>
      </c>
      <c r="C251">
        <v>69</v>
      </c>
      <c r="D251" t="s">
        <v>12</v>
      </c>
      <c r="E251" t="s">
        <v>45</v>
      </c>
      <c r="F251" t="s">
        <v>27</v>
      </c>
      <c r="G251" s="5">
        <v>45834</v>
      </c>
      <c r="H251" t="str">
        <f t="shared" si="6"/>
        <v>June</v>
      </c>
      <c r="I251" s="5">
        <v>45837</v>
      </c>
      <c r="J251" s="7">
        <f t="shared" si="7"/>
        <v>3</v>
      </c>
      <c r="K251" s="6">
        <v>27390</v>
      </c>
    </row>
    <row r="252" spans="1:11" x14ac:dyDescent="0.3">
      <c r="A252" t="s">
        <v>400</v>
      </c>
      <c r="B252" t="s">
        <v>178</v>
      </c>
      <c r="C252">
        <v>44</v>
      </c>
      <c r="D252" t="s">
        <v>12</v>
      </c>
      <c r="E252" t="s">
        <v>102</v>
      </c>
      <c r="F252" t="s">
        <v>23</v>
      </c>
      <c r="G252" s="5">
        <v>45901</v>
      </c>
      <c r="H252" t="str">
        <f t="shared" si="6"/>
        <v>September</v>
      </c>
      <c r="I252" s="5">
        <v>45906</v>
      </c>
      <c r="J252" s="7">
        <f t="shared" si="7"/>
        <v>5</v>
      </c>
      <c r="K252" s="6">
        <v>52825</v>
      </c>
    </row>
    <row r="253" spans="1:11" x14ac:dyDescent="0.3">
      <c r="A253" t="s">
        <v>401</v>
      </c>
      <c r="B253" t="s">
        <v>158</v>
      </c>
      <c r="C253">
        <v>86</v>
      </c>
      <c r="D253" t="s">
        <v>17</v>
      </c>
      <c r="E253" t="s">
        <v>26</v>
      </c>
      <c r="F253" t="s">
        <v>14</v>
      </c>
      <c r="G253" s="5">
        <v>45871</v>
      </c>
      <c r="H253" t="str">
        <f t="shared" si="6"/>
        <v>August</v>
      </c>
      <c r="I253" s="5">
        <v>45885</v>
      </c>
      <c r="J253" s="7">
        <f t="shared" si="7"/>
        <v>14</v>
      </c>
      <c r="K253" s="6">
        <v>57022</v>
      </c>
    </row>
    <row r="254" spans="1:11" x14ac:dyDescent="0.3">
      <c r="A254" t="s">
        <v>402</v>
      </c>
      <c r="B254" t="s">
        <v>47</v>
      </c>
      <c r="C254">
        <v>18</v>
      </c>
      <c r="D254" t="s">
        <v>17</v>
      </c>
      <c r="E254" t="s">
        <v>33</v>
      </c>
      <c r="F254" t="s">
        <v>27</v>
      </c>
      <c r="G254" s="5">
        <v>45919</v>
      </c>
      <c r="H254" t="str">
        <f t="shared" si="6"/>
        <v>September</v>
      </c>
      <c r="I254" s="5">
        <v>45924</v>
      </c>
      <c r="J254" s="7">
        <f t="shared" si="7"/>
        <v>5</v>
      </c>
      <c r="K254" s="6">
        <v>38235</v>
      </c>
    </row>
    <row r="255" spans="1:11" x14ac:dyDescent="0.3">
      <c r="A255" t="s">
        <v>403</v>
      </c>
      <c r="B255" t="s">
        <v>220</v>
      </c>
      <c r="C255">
        <v>8</v>
      </c>
      <c r="D255" t="s">
        <v>17</v>
      </c>
      <c r="E255" t="s">
        <v>26</v>
      </c>
      <c r="F255" t="s">
        <v>19</v>
      </c>
      <c r="G255" s="5">
        <v>45868</v>
      </c>
      <c r="H255" t="str">
        <f t="shared" si="6"/>
        <v>July</v>
      </c>
      <c r="I255" s="5">
        <v>45877</v>
      </c>
      <c r="J255" s="7">
        <f t="shared" si="7"/>
        <v>9</v>
      </c>
      <c r="K255" s="6">
        <v>81549</v>
      </c>
    </row>
    <row r="256" spans="1:11" x14ac:dyDescent="0.3">
      <c r="A256" t="s">
        <v>404</v>
      </c>
      <c r="B256" t="s">
        <v>238</v>
      </c>
      <c r="C256">
        <v>11</v>
      </c>
      <c r="D256" t="s">
        <v>17</v>
      </c>
      <c r="E256" t="s">
        <v>39</v>
      </c>
      <c r="F256" t="s">
        <v>59</v>
      </c>
      <c r="G256" s="5">
        <v>45794</v>
      </c>
      <c r="H256" t="str">
        <f t="shared" si="6"/>
        <v>May</v>
      </c>
      <c r="I256" s="5">
        <v>45808</v>
      </c>
      <c r="J256" s="7">
        <f t="shared" si="7"/>
        <v>14</v>
      </c>
      <c r="K256" s="6">
        <v>161070</v>
      </c>
    </row>
    <row r="257" spans="1:11" x14ac:dyDescent="0.3">
      <c r="A257" t="s">
        <v>405</v>
      </c>
      <c r="B257" t="s">
        <v>109</v>
      </c>
      <c r="C257">
        <v>61</v>
      </c>
      <c r="D257" t="s">
        <v>17</v>
      </c>
      <c r="E257" t="s">
        <v>45</v>
      </c>
      <c r="F257" t="s">
        <v>34</v>
      </c>
      <c r="G257" s="5">
        <v>45995</v>
      </c>
      <c r="H257" t="str">
        <f t="shared" si="6"/>
        <v>December</v>
      </c>
      <c r="I257" s="5">
        <v>46001</v>
      </c>
      <c r="J257" s="7">
        <f t="shared" si="7"/>
        <v>6</v>
      </c>
      <c r="K257" s="6">
        <v>62268</v>
      </c>
    </row>
    <row r="258" spans="1:11" x14ac:dyDescent="0.3">
      <c r="A258" t="s">
        <v>406</v>
      </c>
      <c r="B258" t="s">
        <v>185</v>
      </c>
      <c r="C258">
        <v>42</v>
      </c>
      <c r="D258" t="s">
        <v>17</v>
      </c>
      <c r="E258" t="s">
        <v>39</v>
      </c>
      <c r="F258" t="s">
        <v>34</v>
      </c>
      <c r="G258" s="5">
        <v>45728</v>
      </c>
      <c r="H258" t="str">
        <f t="shared" ref="H258:H321" si="8">TEXT(G258,"mmmm")</f>
        <v>March</v>
      </c>
      <c r="I258" s="5">
        <v>45731</v>
      </c>
      <c r="J258" s="7">
        <f t="shared" si="7"/>
        <v>3</v>
      </c>
      <c r="K258" s="6">
        <v>35373</v>
      </c>
    </row>
    <row r="259" spans="1:11" x14ac:dyDescent="0.3">
      <c r="A259" t="s">
        <v>407</v>
      </c>
      <c r="B259" t="s">
        <v>343</v>
      </c>
      <c r="C259">
        <v>48</v>
      </c>
      <c r="D259" t="s">
        <v>17</v>
      </c>
      <c r="E259" t="s">
        <v>102</v>
      </c>
      <c r="F259" t="s">
        <v>27</v>
      </c>
      <c r="G259" s="5">
        <v>45699</v>
      </c>
      <c r="H259" t="str">
        <f t="shared" si="8"/>
        <v>February</v>
      </c>
      <c r="I259" s="5">
        <v>45712</v>
      </c>
      <c r="J259" s="7">
        <f t="shared" ref="J259:J322" si="9">I259-G259</f>
        <v>13</v>
      </c>
      <c r="K259" s="6">
        <v>151359</v>
      </c>
    </row>
    <row r="260" spans="1:11" x14ac:dyDescent="0.3">
      <c r="A260" t="s">
        <v>408</v>
      </c>
      <c r="B260" t="s">
        <v>409</v>
      </c>
      <c r="C260">
        <v>73</v>
      </c>
      <c r="D260" t="s">
        <v>17</v>
      </c>
      <c r="E260" t="s">
        <v>33</v>
      </c>
      <c r="F260" t="s">
        <v>34</v>
      </c>
      <c r="G260" s="5">
        <v>45988</v>
      </c>
      <c r="H260" t="str">
        <f t="shared" si="8"/>
        <v>November</v>
      </c>
      <c r="I260" s="5">
        <v>46002</v>
      </c>
      <c r="J260" s="7">
        <f t="shared" si="9"/>
        <v>14</v>
      </c>
      <c r="K260" s="6">
        <v>66234</v>
      </c>
    </row>
    <row r="261" spans="1:11" x14ac:dyDescent="0.3">
      <c r="A261" t="s">
        <v>410</v>
      </c>
      <c r="B261" t="s">
        <v>411</v>
      </c>
      <c r="C261">
        <v>67</v>
      </c>
      <c r="D261" t="s">
        <v>12</v>
      </c>
      <c r="E261" t="s">
        <v>13</v>
      </c>
      <c r="F261" t="s">
        <v>42</v>
      </c>
      <c r="G261" s="5">
        <v>45765</v>
      </c>
      <c r="H261" t="str">
        <f t="shared" si="8"/>
        <v>April</v>
      </c>
      <c r="I261" s="5">
        <v>45766</v>
      </c>
      <c r="J261" s="7">
        <f t="shared" si="9"/>
        <v>1</v>
      </c>
      <c r="K261" s="6">
        <v>10410</v>
      </c>
    </row>
    <row r="262" spans="1:11" x14ac:dyDescent="0.3">
      <c r="A262" t="s">
        <v>412</v>
      </c>
      <c r="B262" t="s">
        <v>148</v>
      </c>
      <c r="C262">
        <v>28</v>
      </c>
      <c r="D262" t="s">
        <v>17</v>
      </c>
      <c r="E262" t="s">
        <v>48</v>
      </c>
      <c r="F262" t="s">
        <v>23</v>
      </c>
      <c r="G262" s="5">
        <v>45685</v>
      </c>
      <c r="H262" t="str">
        <f t="shared" si="8"/>
        <v>January</v>
      </c>
      <c r="I262" s="5">
        <v>45686</v>
      </c>
      <c r="J262" s="7">
        <f t="shared" si="9"/>
        <v>1</v>
      </c>
      <c r="K262" s="6">
        <v>7520</v>
      </c>
    </row>
    <row r="263" spans="1:11" x14ac:dyDescent="0.3">
      <c r="A263" t="s">
        <v>413</v>
      </c>
      <c r="B263" t="s">
        <v>38</v>
      </c>
      <c r="C263">
        <v>9</v>
      </c>
      <c r="D263" t="s">
        <v>17</v>
      </c>
      <c r="E263" t="s">
        <v>39</v>
      </c>
      <c r="F263" t="s">
        <v>62</v>
      </c>
      <c r="G263" s="5">
        <v>45900</v>
      </c>
      <c r="H263" t="str">
        <f t="shared" si="8"/>
        <v>August</v>
      </c>
      <c r="I263" s="5">
        <v>45914</v>
      </c>
      <c r="J263" s="7">
        <f t="shared" si="9"/>
        <v>14</v>
      </c>
      <c r="K263" s="6">
        <v>149870</v>
      </c>
    </row>
    <row r="264" spans="1:11" x14ac:dyDescent="0.3">
      <c r="A264" t="s">
        <v>414</v>
      </c>
      <c r="B264" t="s">
        <v>247</v>
      </c>
      <c r="C264">
        <v>64</v>
      </c>
      <c r="D264" t="s">
        <v>17</v>
      </c>
      <c r="E264" t="s">
        <v>26</v>
      </c>
      <c r="F264" t="s">
        <v>62</v>
      </c>
      <c r="G264" s="5">
        <v>45829</v>
      </c>
      <c r="H264" t="str">
        <f t="shared" si="8"/>
        <v>June</v>
      </c>
      <c r="I264" s="5">
        <v>45835</v>
      </c>
      <c r="J264" s="7">
        <f t="shared" si="9"/>
        <v>6</v>
      </c>
      <c r="K264" s="6">
        <v>29010</v>
      </c>
    </row>
    <row r="265" spans="1:11" x14ac:dyDescent="0.3">
      <c r="A265" t="s">
        <v>415</v>
      </c>
      <c r="B265" t="s">
        <v>203</v>
      </c>
      <c r="C265">
        <v>66</v>
      </c>
      <c r="D265" t="s">
        <v>17</v>
      </c>
      <c r="E265" t="s">
        <v>45</v>
      </c>
      <c r="F265" t="s">
        <v>59</v>
      </c>
      <c r="G265" s="5">
        <v>45743</v>
      </c>
      <c r="H265" t="str">
        <f t="shared" si="8"/>
        <v>March</v>
      </c>
      <c r="I265" s="5">
        <v>45746</v>
      </c>
      <c r="J265" s="7">
        <f t="shared" si="9"/>
        <v>3</v>
      </c>
      <c r="K265" s="6">
        <v>34578</v>
      </c>
    </row>
    <row r="266" spans="1:11" x14ac:dyDescent="0.3">
      <c r="A266" t="s">
        <v>416</v>
      </c>
      <c r="B266" t="s">
        <v>125</v>
      </c>
      <c r="C266">
        <v>55</v>
      </c>
      <c r="D266" t="s">
        <v>17</v>
      </c>
      <c r="E266" t="s">
        <v>18</v>
      </c>
      <c r="F266" t="s">
        <v>62</v>
      </c>
      <c r="G266" s="5">
        <v>45992</v>
      </c>
      <c r="H266" t="str">
        <f t="shared" si="8"/>
        <v>December</v>
      </c>
      <c r="I266" s="5">
        <v>46004</v>
      </c>
      <c r="J266" s="7">
        <f t="shared" si="9"/>
        <v>12</v>
      </c>
      <c r="K266" s="6">
        <v>91668</v>
      </c>
    </row>
    <row r="267" spans="1:11" x14ac:dyDescent="0.3">
      <c r="A267" t="s">
        <v>417</v>
      </c>
      <c r="B267" t="s">
        <v>325</v>
      </c>
      <c r="C267">
        <v>64</v>
      </c>
      <c r="D267" t="s">
        <v>12</v>
      </c>
      <c r="E267" t="s">
        <v>22</v>
      </c>
      <c r="F267" t="s">
        <v>62</v>
      </c>
      <c r="G267" s="5">
        <v>45904</v>
      </c>
      <c r="H267" t="str">
        <f t="shared" si="8"/>
        <v>September</v>
      </c>
      <c r="I267" s="5">
        <v>45917</v>
      </c>
      <c r="J267" s="7">
        <f t="shared" si="9"/>
        <v>13</v>
      </c>
      <c r="K267" s="6">
        <v>153036</v>
      </c>
    </row>
    <row r="268" spans="1:11" x14ac:dyDescent="0.3">
      <c r="A268" t="s">
        <v>418</v>
      </c>
      <c r="B268" t="s">
        <v>419</v>
      </c>
      <c r="C268">
        <v>2</v>
      </c>
      <c r="D268" t="s">
        <v>17</v>
      </c>
      <c r="E268" t="s">
        <v>33</v>
      </c>
      <c r="F268" t="s">
        <v>23</v>
      </c>
      <c r="G268" s="5">
        <v>45751</v>
      </c>
      <c r="H268" t="str">
        <f t="shared" si="8"/>
        <v>April</v>
      </c>
      <c r="I268" s="5">
        <v>45760</v>
      </c>
      <c r="J268" s="7">
        <f t="shared" si="9"/>
        <v>9</v>
      </c>
      <c r="K268" s="6">
        <v>86148</v>
      </c>
    </row>
    <row r="269" spans="1:11" x14ac:dyDescent="0.3">
      <c r="A269" t="s">
        <v>420</v>
      </c>
      <c r="B269" t="s">
        <v>70</v>
      </c>
      <c r="C269">
        <v>18</v>
      </c>
      <c r="D269" t="s">
        <v>17</v>
      </c>
      <c r="E269" t="s">
        <v>45</v>
      </c>
      <c r="F269" t="s">
        <v>14</v>
      </c>
      <c r="G269" s="5">
        <v>45751</v>
      </c>
      <c r="H269" t="str">
        <f t="shared" si="8"/>
        <v>April</v>
      </c>
      <c r="I269" s="5">
        <v>45752</v>
      </c>
      <c r="J269" s="7">
        <f t="shared" si="9"/>
        <v>1</v>
      </c>
      <c r="K269" s="6">
        <v>5434</v>
      </c>
    </row>
    <row r="270" spans="1:11" x14ac:dyDescent="0.3">
      <c r="A270" t="s">
        <v>421</v>
      </c>
      <c r="B270" t="s">
        <v>74</v>
      </c>
      <c r="C270">
        <v>84</v>
      </c>
      <c r="D270" t="s">
        <v>17</v>
      </c>
      <c r="E270" t="s">
        <v>30</v>
      </c>
      <c r="F270" t="s">
        <v>23</v>
      </c>
      <c r="G270" s="5">
        <v>45749</v>
      </c>
      <c r="H270" t="str">
        <f t="shared" si="8"/>
        <v>April</v>
      </c>
      <c r="I270" s="5">
        <v>45757</v>
      </c>
      <c r="J270" s="7">
        <f t="shared" si="9"/>
        <v>8</v>
      </c>
      <c r="K270" s="6">
        <v>74816</v>
      </c>
    </row>
    <row r="271" spans="1:11" x14ac:dyDescent="0.3">
      <c r="A271" t="s">
        <v>422</v>
      </c>
      <c r="B271" t="s">
        <v>178</v>
      </c>
      <c r="C271">
        <v>21</v>
      </c>
      <c r="D271" t="s">
        <v>12</v>
      </c>
      <c r="E271" t="s">
        <v>33</v>
      </c>
      <c r="F271" t="s">
        <v>27</v>
      </c>
      <c r="G271" s="5">
        <v>45999</v>
      </c>
      <c r="H271" t="str">
        <f t="shared" si="8"/>
        <v>December</v>
      </c>
      <c r="I271" s="5">
        <v>46009</v>
      </c>
      <c r="J271" s="7">
        <f t="shared" si="9"/>
        <v>10</v>
      </c>
      <c r="K271" s="6">
        <v>111150</v>
      </c>
    </row>
    <row r="272" spans="1:11" x14ac:dyDescent="0.3">
      <c r="A272" t="s">
        <v>423</v>
      </c>
      <c r="B272" t="s">
        <v>91</v>
      </c>
      <c r="C272">
        <v>21</v>
      </c>
      <c r="D272" t="s">
        <v>17</v>
      </c>
      <c r="E272" t="s">
        <v>33</v>
      </c>
      <c r="F272" t="s">
        <v>59</v>
      </c>
      <c r="G272" s="5">
        <v>45866</v>
      </c>
      <c r="H272" t="str">
        <f t="shared" si="8"/>
        <v>July</v>
      </c>
      <c r="I272" s="5">
        <v>45869</v>
      </c>
      <c r="J272" s="7">
        <f t="shared" si="9"/>
        <v>3</v>
      </c>
      <c r="K272" s="6">
        <v>21246</v>
      </c>
    </row>
    <row r="273" spans="1:11" x14ac:dyDescent="0.3">
      <c r="A273" t="s">
        <v>424</v>
      </c>
      <c r="B273" t="s">
        <v>38</v>
      </c>
      <c r="C273">
        <v>37</v>
      </c>
      <c r="D273" t="s">
        <v>17</v>
      </c>
      <c r="E273" t="s">
        <v>48</v>
      </c>
      <c r="F273" t="s">
        <v>59</v>
      </c>
      <c r="G273" s="5">
        <v>45945</v>
      </c>
      <c r="H273" t="str">
        <f t="shared" si="8"/>
        <v>October</v>
      </c>
      <c r="I273" s="5">
        <v>45953</v>
      </c>
      <c r="J273" s="7">
        <f t="shared" si="9"/>
        <v>8</v>
      </c>
      <c r="K273" s="6">
        <v>61864</v>
      </c>
    </row>
    <row r="274" spans="1:11" x14ac:dyDescent="0.3">
      <c r="A274" t="s">
        <v>425</v>
      </c>
      <c r="B274" t="s">
        <v>426</v>
      </c>
      <c r="C274">
        <v>85</v>
      </c>
      <c r="D274" t="s">
        <v>17</v>
      </c>
      <c r="E274" t="s">
        <v>48</v>
      </c>
      <c r="F274" t="s">
        <v>42</v>
      </c>
      <c r="G274" s="5">
        <v>45880</v>
      </c>
      <c r="H274" t="str">
        <f t="shared" si="8"/>
        <v>August</v>
      </c>
      <c r="I274" s="5">
        <v>45893</v>
      </c>
      <c r="J274" s="7">
        <f t="shared" si="9"/>
        <v>13</v>
      </c>
      <c r="K274" s="6">
        <v>78416</v>
      </c>
    </row>
    <row r="275" spans="1:11" x14ac:dyDescent="0.3">
      <c r="A275" t="s">
        <v>427</v>
      </c>
      <c r="B275" t="s">
        <v>428</v>
      </c>
      <c r="C275">
        <v>75</v>
      </c>
      <c r="D275" t="s">
        <v>12</v>
      </c>
      <c r="E275" t="s">
        <v>102</v>
      </c>
      <c r="F275" t="s">
        <v>42</v>
      </c>
      <c r="G275" s="5">
        <v>45742</v>
      </c>
      <c r="H275" t="str">
        <f t="shared" si="8"/>
        <v>March</v>
      </c>
      <c r="I275" s="5">
        <v>45746</v>
      </c>
      <c r="J275" s="7">
        <f t="shared" si="9"/>
        <v>4</v>
      </c>
      <c r="K275" s="6">
        <v>22480</v>
      </c>
    </row>
    <row r="276" spans="1:11" x14ac:dyDescent="0.3">
      <c r="A276" t="s">
        <v>429</v>
      </c>
      <c r="B276" t="s">
        <v>160</v>
      </c>
      <c r="C276">
        <v>90</v>
      </c>
      <c r="D276" t="s">
        <v>12</v>
      </c>
      <c r="E276" t="s">
        <v>39</v>
      </c>
      <c r="F276" t="s">
        <v>34</v>
      </c>
      <c r="G276" s="5">
        <v>45925</v>
      </c>
      <c r="H276" t="str">
        <f t="shared" si="8"/>
        <v>September</v>
      </c>
      <c r="I276" s="5">
        <v>45927</v>
      </c>
      <c r="J276" s="7">
        <f t="shared" si="9"/>
        <v>2</v>
      </c>
      <c r="K276" s="6">
        <v>22164</v>
      </c>
    </row>
    <row r="277" spans="1:11" x14ac:dyDescent="0.3">
      <c r="A277" t="s">
        <v>430</v>
      </c>
      <c r="B277" t="s">
        <v>431</v>
      </c>
      <c r="C277">
        <v>43</v>
      </c>
      <c r="D277" t="s">
        <v>17</v>
      </c>
      <c r="E277" t="s">
        <v>33</v>
      </c>
      <c r="F277" t="s">
        <v>14</v>
      </c>
      <c r="G277" s="5">
        <v>45684</v>
      </c>
      <c r="H277" t="str">
        <f t="shared" si="8"/>
        <v>January</v>
      </c>
      <c r="I277" s="5">
        <v>45686</v>
      </c>
      <c r="J277" s="7">
        <f t="shared" si="9"/>
        <v>2</v>
      </c>
      <c r="K277" s="6">
        <v>16568</v>
      </c>
    </row>
    <row r="278" spans="1:11" x14ac:dyDescent="0.3">
      <c r="A278" t="s">
        <v>432</v>
      </c>
      <c r="B278" t="s">
        <v>98</v>
      </c>
      <c r="C278">
        <v>19</v>
      </c>
      <c r="D278" t="s">
        <v>17</v>
      </c>
      <c r="E278" t="s">
        <v>33</v>
      </c>
      <c r="F278" t="s">
        <v>19</v>
      </c>
      <c r="G278" s="5">
        <v>45723</v>
      </c>
      <c r="H278" t="str">
        <f t="shared" si="8"/>
        <v>March</v>
      </c>
      <c r="I278" s="5">
        <v>45734</v>
      </c>
      <c r="J278" s="7">
        <f t="shared" si="9"/>
        <v>11</v>
      </c>
      <c r="K278" s="6">
        <v>100496</v>
      </c>
    </row>
    <row r="279" spans="1:11" x14ac:dyDescent="0.3">
      <c r="A279" t="s">
        <v>433</v>
      </c>
      <c r="B279" t="s">
        <v>112</v>
      </c>
      <c r="C279">
        <v>24</v>
      </c>
      <c r="D279" t="s">
        <v>17</v>
      </c>
      <c r="E279" t="s">
        <v>13</v>
      </c>
      <c r="F279" t="s">
        <v>59</v>
      </c>
      <c r="G279" s="5">
        <v>45884</v>
      </c>
      <c r="H279" t="str">
        <f t="shared" si="8"/>
        <v>August</v>
      </c>
      <c r="I279" s="5">
        <v>45894</v>
      </c>
      <c r="J279" s="7">
        <f t="shared" si="9"/>
        <v>10</v>
      </c>
      <c r="K279" s="6">
        <v>63880</v>
      </c>
    </row>
    <row r="280" spans="1:11" x14ac:dyDescent="0.3">
      <c r="A280" t="s">
        <v>434</v>
      </c>
      <c r="B280" t="s">
        <v>435</v>
      </c>
      <c r="C280">
        <v>20</v>
      </c>
      <c r="D280" t="s">
        <v>17</v>
      </c>
      <c r="E280" t="s">
        <v>13</v>
      </c>
      <c r="F280" t="s">
        <v>42</v>
      </c>
      <c r="G280" s="5">
        <v>45941</v>
      </c>
      <c r="H280" t="str">
        <f t="shared" si="8"/>
        <v>October</v>
      </c>
      <c r="I280" s="5">
        <v>45956</v>
      </c>
      <c r="J280" s="7">
        <f t="shared" si="9"/>
        <v>15</v>
      </c>
      <c r="K280" s="6">
        <v>68910</v>
      </c>
    </row>
    <row r="281" spans="1:11" x14ac:dyDescent="0.3">
      <c r="A281" t="s">
        <v>436</v>
      </c>
      <c r="B281" t="s">
        <v>312</v>
      </c>
      <c r="C281">
        <v>82</v>
      </c>
      <c r="D281" t="s">
        <v>17</v>
      </c>
      <c r="E281" t="s">
        <v>39</v>
      </c>
      <c r="F281" t="s">
        <v>42</v>
      </c>
      <c r="G281" s="5">
        <v>45948</v>
      </c>
      <c r="H281" t="str">
        <f t="shared" si="8"/>
        <v>October</v>
      </c>
      <c r="I281" s="5">
        <v>45951</v>
      </c>
      <c r="J281" s="7">
        <f t="shared" si="9"/>
        <v>3</v>
      </c>
      <c r="K281" s="6">
        <v>28596</v>
      </c>
    </row>
    <row r="282" spans="1:11" x14ac:dyDescent="0.3">
      <c r="A282" t="s">
        <v>437</v>
      </c>
      <c r="B282" t="s">
        <v>390</v>
      </c>
      <c r="C282">
        <v>82</v>
      </c>
      <c r="D282" t="s">
        <v>17</v>
      </c>
      <c r="E282" t="s">
        <v>39</v>
      </c>
      <c r="F282" t="s">
        <v>34</v>
      </c>
      <c r="G282" s="5">
        <v>45949</v>
      </c>
      <c r="H282" t="str">
        <f t="shared" si="8"/>
        <v>October</v>
      </c>
      <c r="I282" s="5">
        <v>45953</v>
      </c>
      <c r="J282" s="7">
        <f t="shared" si="9"/>
        <v>4</v>
      </c>
      <c r="K282" s="6">
        <v>19764</v>
      </c>
    </row>
    <row r="283" spans="1:11" x14ac:dyDescent="0.3">
      <c r="A283" t="s">
        <v>438</v>
      </c>
      <c r="B283" t="s">
        <v>47</v>
      </c>
      <c r="C283">
        <v>17</v>
      </c>
      <c r="D283" t="s">
        <v>12</v>
      </c>
      <c r="E283" t="s">
        <v>13</v>
      </c>
      <c r="F283" t="s">
        <v>14</v>
      </c>
      <c r="G283" s="5">
        <v>45922</v>
      </c>
      <c r="H283" t="str">
        <f t="shared" si="8"/>
        <v>September</v>
      </c>
      <c r="I283" s="5">
        <v>45924</v>
      </c>
      <c r="J283" s="7">
        <f t="shared" si="9"/>
        <v>2</v>
      </c>
      <c r="K283" s="6">
        <v>11686</v>
      </c>
    </row>
    <row r="284" spans="1:11" x14ac:dyDescent="0.3">
      <c r="A284" t="s">
        <v>439</v>
      </c>
      <c r="B284" t="s">
        <v>209</v>
      </c>
      <c r="C284">
        <v>88</v>
      </c>
      <c r="D284" t="s">
        <v>17</v>
      </c>
      <c r="E284" t="s">
        <v>18</v>
      </c>
      <c r="F284" t="s">
        <v>19</v>
      </c>
      <c r="G284" s="5">
        <v>45819</v>
      </c>
      <c r="H284" t="str">
        <f t="shared" si="8"/>
        <v>June</v>
      </c>
      <c r="I284" s="5">
        <v>45826</v>
      </c>
      <c r="J284" s="7">
        <f t="shared" si="9"/>
        <v>7</v>
      </c>
      <c r="K284" s="6">
        <v>60060</v>
      </c>
    </row>
    <row r="285" spans="1:11" x14ac:dyDescent="0.3">
      <c r="A285" t="s">
        <v>440</v>
      </c>
      <c r="B285" t="s">
        <v>93</v>
      </c>
      <c r="C285">
        <v>7</v>
      </c>
      <c r="D285" t="s">
        <v>12</v>
      </c>
      <c r="E285" t="s">
        <v>13</v>
      </c>
      <c r="F285" t="s">
        <v>19</v>
      </c>
      <c r="G285" s="5">
        <v>45957</v>
      </c>
      <c r="H285" t="str">
        <f t="shared" si="8"/>
        <v>October</v>
      </c>
      <c r="I285" s="5">
        <v>45964</v>
      </c>
      <c r="J285" s="7">
        <f t="shared" si="9"/>
        <v>7</v>
      </c>
      <c r="K285" s="6">
        <v>43463</v>
      </c>
    </row>
    <row r="286" spans="1:11" x14ac:dyDescent="0.3">
      <c r="A286" t="s">
        <v>441</v>
      </c>
      <c r="B286" t="s">
        <v>89</v>
      </c>
      <c r="C286">
        <v>63</v>
      </c>
      <c r="D286" t="s">
        <v>12</v>
      </c>
      <c r="E286" t="s">
        <v>45</v>
      </c>
      <c r="F286" t="s">
        <v>34</v>
      </c>
      <c r="G286" s="5">
        <v>45772</v>
      </c>
      <c r="H286" t="str">
        <f t="shared" si="8"/>
        <v>April</v>
      </c>
      <c r="I286" s="5">
        <v>45774</v>
      </c>
      <c r="J286" s="7">
        <f t="shared" si="9"/>
        <v>2</v>
      </c>
      <c r="K286" s="6">
        <v>13926</v>
      </c>
    </row>
    <row r="287" spans="1:11" x14ac:dyDescent="0.3">
      <c r="A287" t="s">
        <v>442</v>
      </c>
      <c r="B287" t="s">
        <v>98</v>
      </c>
      <c r="C287">
        <v>25</v>
      </c>
      <c r="D287" t="s">
        <v>17</v>
      </c>
      <c r="E287" t="s">
        <v>102</v>
      </c>
      <c r="F287" t="s">
        <v>19</v>
      </c>
      <c r="G287" s="5">
        <v>45793</v>
      </c>
      <c r="H287" t="str">
        <f t="shared" si="8"/>
        <v>May</v>
      </c>
      <c r="I287" s="5">
        <v>45795</v>
      </c>
      <c r="J287" s="7">
        <f t="shared" si="9"/>
        <v>2</v>
      </c>
      <c r="K287" s="6">
        <v>18698</v>
      </c>
    </row>
    <row r="288" spans="1:11" x14ac:dyDescent="0.3">
      <c r="A288" t="s">
        <v>443</v>
      </c>
      <c r="B288" t="s">
        <v>144</v>
      </c>
      <c r="C288">
        <v>26</v>
      </c>
      <c r="D288" t="s">
        <v>17</v>
      </c>
      <c r="E288" t="s">
        <v>22</v>
      </c>
      <c r="F288" t="s">
        <v>59</v>
      </c>
      <c r="G288" s="5">
        <v>45690</v>
      </c>
      <c r="H288" t="str">
        <f t="shared" si="8"/>
        <v>February</v>
      </c>
      <c r="I288" s="5">
        <v>45695</v>
      </c>
      <c r="J288" s="7">
        <f t="shared" si="9"/>
        <v>5</v>
      </c>
      <c r="K288" s="6">
        <v>41265</v>
      </c>
    </row>
    <row r="289" spans="1:11" x14ac:dyDescent="0.3">
      <c r="A289" t="s">
        <v>444</v>
      </c>
      <c r="B289" t="s">
        <v>445</v>
      </c>
      <c r="C289">
        <v>36</v>
      </c>
      <c r="D289" t="s">
        <v>17</v>
      </c>
      <c r="E289" t="s">
        <v>22</v>
      </c>
      <c r="F289" t="s">
        <v>27</v>
      </c>
      <c r="G289" s="5">
        <v>46005</v>
      </c>
      <c r="H289" t="str">
        <f t="shared" si="8"/>
        <v>December</v>
      </c>
      <c r="I289" s="5">
        <v>46007</v>
      </c>
      <c r="J289" s="7">
        <f t="shared" si="9"/>
        <v>2</v>
      </c>
      <c r="K289" s="6">
        <v>21408</v>
      </c>
    </row>
    <row r="290" spans="1:11" x14ac:dyDescent="0.3">
      <c r="A290" t="s">
        <v>446</v>
      </c>
      <c r="B290" t="s">
        <v>151</v>
      </c>
      <c r="C290">
        <v>43</v>
      </c>
      <c r="D290" t="s">
        <v>17</v>
      </c>
      <c r="E290" t="s">
        <v>48</v>
      </c>
      <c r="F290" t="s">
        <v>14</v>
      </c>
      <c r="G290" s="5">
        <v>45979</v>
      </c>
      <c r="H290" t="str">
        <f t="shared" si="8"/>
        <v>November</v>
      </c>
      <c r="I290" s="5">
        <v>45994</v>
      </c>
      <c r="J290" s="7">
        <f t="shared" si="9"/>
        <v>15</v>
      </c>
      <c r="K290" s="6">
        <v>131895</v>
      </c>
    </row>
    <row r="291" spans="1:11" x14ac:dyDescent="0.3">
      <c r="A291" t="s">
        <v>447</v>
      </c>
      <c r="B291" t="s">
        <v>91</v>
      </c>
      <c r="C291">
        <v>50</v>
      </c>
      <c r="D291" t="s">
        <v>17</v>
      </c>
      <c r="E291" t="s">
        <v>48</v>
      </c>
      <c r="F291" t="s">
        <v>59</v>
      </c>
      <c r="G291" s="5">
        <v>45718</v>
      </c>
      <c r="H291" t="str">
        <f t="shared" si="8"/>
        <v>March</v>
      </c>
      <c r="I291" s="5">
        <v>45725</v>
      </c>
      <c r="J291" s="7">
        <f t="shared" si="9"/>
        <v>7</v>
      </c>
      <c r="K291" s="6">
        <v>52934</v>
      </c>
    </row>
    <row r="292" spans="1:11" x14ac:dyDescent="0.3">
      <c r="A292" t="s">
        <v>448</v>
      </c>
      <c r="B292" t="s">
        <v>264</v>
      </c>
      <c r="C292">
        <v>32</v>
      </c>
      <c r="D292" t="s">
        <v>12</v>
      </c>
      <c r="E292" t="s">
        <v>102</v>
      </c>
      <c r="F292" t="s">
        <v>59</v>
      </c>
      <c r="G292" s="5">
        <v>45903</v>
      </c>
      <c r="H292" t="str">
        <f t="shared" si="8"/>
        <v>September</v>
      </c>
      <c r="I292" s="5">
        <v>45908</v>
      </c>
      <c r="J292" s="7">
        <f t="shared" si="9"/>
        <v>5</v>
      </c>
      <c r="K292" s="6">
        <v>43190</v>
      </c>
    </row>
    <row r="293" spans="1:11" x14ac:dyDescent="0.3">
      <c r="A293" t="s">
        <v>449</v>
      </c>
      <c r="B293" t="s">
        <v>294</v>
      </c>
      <c r="C293">
        <v>14</v>
      </c>
      <c r="D293" t="s">
        <v>17</v>
      </c>
      <c r="E293" t="s">
        <v>30</v>
      </c>
      <c r="F293" t="s">
        <v>14</v>
      </c>
      <c r="G293" s="5">
        <v>45724</v>
      </c>
      <c r="H293" t="str">
        <f t="shared" si="8"/>
        <v>March</v>
      </c>
      <c r="I293" s="5">
        <v>45735</v>
      </c>
      <c r="J293" s="7">
        <f t="shared" si="9"/>
        <v>11</v>
      </c>
      <c r="K293" s="6">
        <v>126005</v>
      </c>
    </row>
    <row r="294" spans="1:11" x14ac:dyDescent="0.3">
      <c r="A294" t="s">
        <v>450</v>
      </c>
      <c r="B294" t="s">
        <v>130</v>
      </c>
      <c r="C294">
        <v>81</v>
      </c>
      <c r="D294" t="s">
        <v>17</v>
      </c>
      <c r="E294" t="s">
        <v>13</v>
      </c>
      <c r="F294" t="s">
        <v>34</v>
      </c>
      <c r="G294" s="5">
        <v>46008</v>
      </c>
      <c r="H294" t="str">
        <f t="shared" si="8"/>
        <v>December</v>
      </c>
      <c r="I294" s="5">
        <v>46020</v>
      </c>
      <c r="J294" s="7">
        <f t="shared" si="9"/>
        <v>12</v>
      </c>
      <c r="K294" s="6">
        <v>61908</v>
      </c>
    </row>
    <row r="295" spans="1:11" x14ac:dyDescent="0.3">
      <c r="A295" t="s">
        <v>451</v>
      </c>
      <c r="B295" t="s">
        <v>50</v>
      </c>
      <c r="C295">
        <v>29</v>
      </c>
      <c r="D295" t="s">
        <v>17</v>
      </c>
      <c r="E295" t="s">
        <v>22</v>
      </c>
      <c r="F295" t="s">
        <v>27</v>
      </c>
      <c r="G295" s="5">
        <v>45703</v>
      </c>
      <c r="H295" t="str">
        <f t="shared" si="8"/>
        <v>February</v>
      </c>
      <c r="I295" s="5">
        <v>45716</v>
      </c>
      <c r="J295" s="7">
        <f t="shared" si="9"/>
        <v>13</v>
      </c>
      <c r="K295" s="6">
        <v>113867</v>
      </c>
    </row>
    <row r="296" spans="1:11" x14ac:dyDescent="0.3">
      <c r="A296" t="s">
        <v>452</v>
      </c>
      <c r="B296" t="s">
        <v>241</v>
      </c>
      <c r="C296">
        <v>53</v>
      </c>
      <c r="D296" t="s">
        <v>17</v>
      </c>
      <c r="E296" t="s">
        <v>30</v>
      </c>
      <c r="F296" t="s">
        <v>42</v>
      </c>
      <c r="G296" s="5">
        <v>45868</v>
      </c>
      <c r="H296" t="str">
        <f t="shared" si="8"/>
        <v>July</v>
      </c>
      <c r="I296" s="5">
        <v>45879</v>
      </c>
      <c r="J296" s="7">
        <f t="shared" si="9"/>
        <v>11</v>
      </c>
      <c r="K296" s="6">
        <v>45375</v>
      </c>
    </row>
    <row r="297" spans="1:11" x14ac:dyDescent="0.3">
      <c r="A297" t="s">
        <v>453</v>
      </c>
      <c r="B297" t="s">
        <v>84</v>
      </c>
      <c r="C297">
        <v>50</v>
      </c>
      <c r="D297" t="s">
        <v>17</v>
      </c>
      <c r="E297" t="s">
        <v>39</v>
      </c>
      <c r="F297" t="s">
        <v>19</v>
      </c>
      <c r="G297" s="5">
        <v>45784</v>
      </c>
      <c r="H297" t="str">
        <f t="shared" si="8"/>
        <v>May</v>
      </c>
      <c r="I297" s="5">
        <v>45798</v>
      </c>
      <c r="J297" s="7">
        <f t="shared" si="9"/>
        <v>14</v>
      </c>
      <c r="K297" s="6">
        <v>84420</v>
      </c>
    </row>
    <row r="298" spans="1:11" x14ac:dyDescent="0.3">
      <c r="A298" t="s">
        <v>454</v>
      </c>
      <c r="B298" t="s">
        <v>455</v>
      </c>
      <c r="C298">
        <v>80</v>
      </c>
      <c r="D298" t="s">
        <v>17</v>
      </c>
      <c r="E298" t="s">
        <v>26</v>
      </c>
      <c r="F298" t="s">
        <v>62</v>
      </c>
      <c r="G298" s="5">
        <v>45875</v>
      </c>
      <c r="H298" t="str">
        <f t="shared" si="8"/>
        <v>August</v>
      </c>
      <c r="I298" s="5">
        <v>45880</v>
      </c>
      <c r="J298" s="7">
        <f t="shared" si="9"/>
        <v>5</v>
      </c>
      <c r="K298" s="6">
        <v>53770</v>
      </c>
    </row>
    <row r="299" spans="1:11" x14ac:dyDescent="0.3">
      <c r="A299" t="s">
        <v>456</v>
      </c>
      <c r="B299" t="s">
        <v>171</v>
      </c>
      <c r="C299">
        <v>54</v>
      </c>
      <c r="D299" t="s">
        <v>17</v>
      </c>
      <c r="E299" t="s">
        <v>26</v>
      </c>
      <c r="F299" t="s">
        <v>59</v>
      </c>
      <c r="G299" s="5">
        <v>45816</v>
      </c>
      <c r="H299" t="str">
        <f t="shared" si="8"/>
        <v>June</v>
      </c>
      <c r="I299" s="5">
        <v>45822</v>
      </c>
      <c r="J299" s="7">
        <f t="shared" si="9"/>
        <v>6</v>
      </c>
      <c r="K299" s="6">
        <v>48774</v>
      </c>
    </row>
    <row r="300" spans="1:11" x14ac:dyDescent="0.3">
      <c r="A300" t="s">
        <v>457</v>
      </c>
      <c r="B300" t="s">
        <v>390</v>
      </c>
      <c r="C300">
        <v>76</v>
      </c>
      <c r="D300" t="s">
        <v>12</v>
      </c>
      <c r="E300" t="s">
        <v>48</v>
      </c>
      <c r="F300" t="s">
        <v>14</v>
      </c>
      <c r="G300" s="5">
        <v>45967</v>
      </c>
      <c r="H300" t="str">
        <f t="shared" si="8"/>
        <v>November</v>
      </c>
      <c r="I300" s="5">
        <v>45968</v>
      </c>
      <c r="J300" s="7">
        <f t="shared" si="9"/>
        <v>1</v>
      </c>
      <c r="K300" s="6">
        <v>11309</v>
      </c>
    </row>
    <row r="301" spans="1:11" x14ac:dyDescent="0.3">
      <c r="A301" t="s">
        <v>458</v>
      </c>
      <c r="B301" t="s">
        <v>36</v>
      </c>
      <c r="C301">
        <v>37</v>
      </c>
      <c r="D301" t="s">
        <v>17</v>
      </c>
      <c r="E301" t="s">
        <v>48</v>
      </c>
      <c r="F301" t="s">
        <v>59</v>
      </c>
      <c r="G301" s="5">
        <v>45914</v>
      </c>
      <c r="H301" t="str">
        <f t="shared" si="8"/>
        <v>September</v>
      </c>
      <c r="I301" s="5">
        <v>45923</v>
      </c>
      <c r="J301" s="7">
        <f t="shared" si="9"/>
        <v>9</v>
      </c>
      <c r="K301" s="6">
        <v>93888</v>
      </c>
    </row>
    <row r="302" spans="1:11" x14ac:dyDescent="0.3">
      <c r="A302" t="s">
        <v>459</v>
      </c>
      <c r="B302" t="s">
        <v>127</v>
      </c>
      <c r="C302">
        <v>50</v>
      </c>
      <c r="D302" t="s">
        <v>12</v>
      </c>
      <c r="E302" t="s">
        <v>18</v>
      </c>
      <c r="F302" t="s">
        <v>19</v>
      </c>
      <c r="G302" s="5">
        <v>45749</v>
      </c>
      <c r="H302" t="str">
        <f t="shared" si="8"/>
        <v>April</v>
      </c>
      <c r="I302" s="5">
        <v>45754</v>
      </c>
      <c r="J302" s="7">
        <f t="shared" si="9"/>
        <v>5</v>
      </c>
      <c r="K302" s="6">
        <v>26255</v>
      </c>
    </row>
    <row r="303" spans="1:11" x14ac:dyDescent="0.3">
      <c r="A303" t="s">
        <v>460</v>
      </c>
      <c r="B303" t="s">
        <v>461</v>
      </c>
      <c r="C303">
        <v>62</v>
      </c>
      <c r="D303" t="s">
        <v>12</v>
      </c>
      <c r="E303" t="s">
        <v>45</v>
      </c>
      <c r="F303" t="s">
        <v>62</v>
      </c>
      <c r="G303" s="5">
        <v>45778</v>
      </c>
      <c r="H303" t="str">
        <f t="shared" si="8"/>
        <v>May</v>
      </c>
      <c r="I303" s="5">
        <v>45788</v>
      </c>
      <c r="J303" s="7">
        <f t="shared" si="9"/>
        <v>10</v>
      </c>
      <c r="K303" s="6">
        <v>75890</v>
      </c>
    </row>
    <row r="304" spans="1:11" x14ac:dyDescent="0.3">
      <c r="A304" t="s">
        <v>462</v>
      </c>
      <c r="B304" t="s">
        <v>171</v>
      </c>
      <c r="C304">
        <v>42</v>
      </c>
      <c r="D304" t="s">
        <v>17</v>
      </c>
      <c r="E304" t="s">
        <v>45</v>
      </c>
      <c r="F304" t="s">
        <v>59</v>
      </c>
      <c r="G304" s="5">
        <v>45915</v>
      </c>
      <c r="H304" t="str">
        <f t="shared" si="8"/>
        <v>September</v>
      </c>
      <c r="I304" s="5">
        <v>45928</v>
      </c>
      <c r="J304" s="7">
        <f t="shared" si="9"/>
        <v>13</v>
      </c>
      <c r="K304" s="6">
        <v>75790</v>
      </c>
    </row>
    <row r="305" spans="1:11" x14ac:dyDescent="0.3">
      <c r="A305" t="s">
        <v>463</v>
      </c>
      <c r="B305" t="s">
        <v>464</v>
      </c>
      <c r="C305">
        <v>81</v>
      </c>
      <c r="D305" t="s">
        <v>17</v>
      </c>
      <c r="E305" t="s">
        <v>33</v>
      </c>
      <c r="F305" t="s">
        <v>62</v>
      </c>
      <c r="G305" s="5">
        <v>45912</v>
      </c>
      <c r="H305" t="str">
        <f t="shared" si="8"/>
        <v>September</v>
      </c>
      <c r="I305" s="5">
        <v>45920</v>
      </c>
      <c r="J305" s="7">
        <f t="shared" si="9"/>
        <v>8</v>
      </c>
      <c r="K305" s="6">
        <v>86704</v>
      </c>
    </row>
    <row r="306" spans="1:11" x14ac:dyDescent="0.3">
      <c r="A306" t="s">
        <v>465</v>
      </c>
      <c r="B306" t="s">
        <v>144</v>
      </c>
      <c r="C306">
        <v>67</v>
      </c>
      <c r="D306" t="s">
        <v>17</v>
      </c>
      <c r="E306" t="s">
        <v>33</v>
      </c>
      <c r="F306" t="s">
        <v>14</v>
      </c>
      <c r="G306" s="5">
        <v>45661</v>
      </c>
      <c r="H306" t="str">
        <f t="shared" si="8"/>
        <v>January</v>
      </c>
      <c r="I306" s="5">
        <v>45671</v>
      </c>
      <c r="J306" s="7">
        <f t="shared" si="9"/>
        <v>10</v>
      </c>
      <c r="K306" s="6">
        <v>81200</v>
      </c>
    </row>
    <row r="307" spans="1:11" x14ac:dyDescent="0.3">
      <c r="A307" t="s">
        <v>466</v>
      </c>
      <c r="B307" t="s">
        <v>467</v>
      </c>
      <c r="C307">
        <v>71</v>
      </c>
      <c r="D307" t="s">
        <v>12</v>
      </c>
      <c r="E307" t="s">
        <v>26</v>
      </c>
      <c r="F307" t="s">
        <v>27</v>
      </c>
      <c r="G307" s="5">
        <v>45957</v>
      </c>
      <c r="H307" t="str">
        <f t="shared" si="8"/>
        <v>October</v>
      </c>
      <c r="I307" s="5">
        <v>45969</v>
      </c>
      <c r="J307" s="7">
        <f t="shared" si="9"/>
        <v>12</v>
      </c>
      <c r="K307" s="6">
        <v>74208</v>
      </c>
    </row>
    <row r="308" spans="1:11" x14ac:dyDescent="0.3">
      <c r="A308" t="s">
        <v>468</v>
      </c>
      <c r="B308" t="s">
        <v>82</v>
      </c>
      <c r="C308">
        <v>83</v>
      </c>
      <c r="D308" t="s">
        <v>12</v>
      </c>
      <c r="E308" t="s">
        <v>22</v>
      </c>
      <c r="F308" t="s">
        <v>34</v>
      </c>
      <c r="G308" s="5">
        <v>45774</v>
      </c>
      <c r="H308" t="str">
        <f t="shared" si="8"/>
        <v>April</v>
      </c>
      <c r="I308" s="5">
        <v>45786</v>
      </c>
      <c r="J308" s="7">
        <f t="shared" si="9"/>
        <v>12</v>
      </c>
      <c r="K308" s="6">
        <v>48912</v>
      </c>
    </row>
    <row r="309" spans="1:11" x14ac:dyDescent="0.3">
      <c r="A309" t="s">
        <v>469</v>
      </c>
      <c r="B309" t="s">
        <v>259</v>
      </c>
      <c r="C309">
        <v>65</v>
      </c>
      <c r="D309" t="s">
        <v>12</v>
      </c>
      <c r="E309" t="s">
        <v>39</v>
      </c>
      <c r="F309" t="s">
        <v>19</v>
      </c>
      <c r="G309" s="5">
        <v>45905</v>
      </c>
      <c r="H309" t="str">
        <f t="shared" si="8"/>
        <v>September</v>
      </c>
      <c r="I309" s="5">
        <v>45907</v>
      </c>
      <c r="J309" s="7">
        <f t="shared" si="9"/>
        <v>2</v>
      </c>
      <c r="K309" s="6">
        <v>13186</v>
      </c>
    </row>
    <row r="310" spans="1:11" x14ac:dyDescent="0.3">
      <c r="A310" t="s">
        <v>470</v>
      </c>
      <c r="B310" t="s">
        <v>471</v>
      </c>
      <c r="C310">
        <v>71</v>
      </c>
      <c r="D310" t="s">
        <v>12</v>
      </c>
      <c r="E310" t="s">
        <v>13</v>
      </c>
      <c r="F310" t="s">
        <v>23</v>
      </c>
      <c r="G310" s="5">
        <v>45991</v>
      </c>
      <c r="H310" t="str">
        <f t="shared" si="8"/>
        <v>November</v>
      </c>
      <c r="I310" s="5">
        <v>46004</v>
      </c>
      <c r="J310" s="7">
        <f t="shared" si="9"/>
        <v>13</v>
      </c>
      <c r="K310" s="6">
        <v>61451</v>
      </c>
    </row>
    <row r="311" spans="1:11" x14ac:dyDescent="0.3">
      <c r="A311" t="s">
        <v>472</v>
      </c>
      <c r="B311" t="s">
        <v>29</v>
      </c>
      <c r="C311">
        <v>81</v>
      </c>
      <c r="D311" t="s">
        <v>12</v>
      </c>
      <c r="E311" t="s">
        <v>26</v>
      </c>
      <c r="F311" t="s">
        <v>42</v>
      </c>
      <c r="G311" s="5">
        <v>45731</v>
      </c>
      <c r="H311" t="str">
        <f t="shared" si="8"/>
        <v>March</v>
      </c>
      <c r="I311" s="5">
        <v>45737</v>
      </c>
      <c r="J311" s="7">
        <f t="shared" si="9"/>
        <v>6</v>
      </c>
      <c r="K311" s="6">
        <v>69762</v>
      </c>
    </row>
    <row r="312" spans="1:11" x14ac:dyDescent="0.3">
      <c r="A312" t="s">
        <v>473</v>
      </c>
      <c r="B312" t="s">
        <v>377</v>
      </c>
      <c r="C312">
        <v>39</v>
      </c>
      <c r="D312" t="s">
        <v>17</v>
      </c>
      <c r="E312" t="s">
        <v>48</v>
      </c>
      <c r="F312" t="s">
        <v>19</v>
      </c>
      <c r="G312" s="5">
        <v>45738</v>
      </c>
      <c r="H312" t="str">
        <f t="shared" si="8"/>
        <v>March</v>
      </c>
      <c r="I312" s="5">
        <v>45749</v>
      </c>
      <c r="J312" s="7">
        <f t="shared" si="9"/>
        <v>11</v>
      </c>
      <c r="K312" s="6">
        <v>71610</v>
      </c>
    </row>
    <row r="313" spans="1:11" x14ac:dyDescent="0.3">
      <c r="A313" t="s">
        <v>474</v>
      </c>
      <c r="B313" t="s">
        <v>475</v>
      </c>
      <c r="C313">
        <v>14</v>
      </c>
      <c r="D313" t="s">
        <v>12</v>
      </c>
      <c r="E313" t="s">
        <v>102</v>
      </c>
      <c r="F313" t="s">
        <v>42</v>
      </c>
      <c r="G313" s="5">
        <v>45853</v>
      </c>
      <c r="H313" t="str">
        <f t="shared" si="8"/>
        <v>July</v>
      </c>
      <c r="I313" s="5">
        <v>45862</v>
      </c>
      <c r="J313" s="7">
        <f t="shared" si="9"/>
        <v>9</v>
      </c>
      <c r="K313" s="6">
        <v>49392</v>
      </c>
    </row>
    <row r="314" spans="1:11" x14ac:dyDescent="0.3">
      <c r="A314" t="s">
        <v>476</v>
      </c>
      <c r="B314" t="s">
        <v>191</v>
      </c>
      <c r="C314">
        <v>40</v>
      </c>
      <c r="D314" t="s">
        <v>12</v>
      </c>
      <c r="E314" t="s">
        <v>33</v>
      </c>
      <c r="F314" t="s">
        <v>19</v>
      </c>
      <c r="G314" s="5">
        <v>45840</v>
      </c>
      <c r="H314" t="str">
        <f t="shared" si="8"/>
        <v>July</v>
      </c>
      <c r="I314" s="5">
        <v>45843</v>
      </c>
      <c r="J314" s="7">
        <f t="shared" si="9"/>
        <v>3</v>
      </c>
      <c r="K314" s="6">
        <v>18513</v>
      </c>
    </row>
    <row r="315" spans="1:11" x14ac:dyDescent="0.3">
      <c r="A315" t="s">
        <v>477</v>
      </c>
      <c r="B315" t="s">
        <v>209</v>
      </c>
      <c r="C315">
        <v>11</v>
      </c>
      <c r="D315" t="s">
        <v>12</v>
      </c>
      <c r="E315" t="s">
        <v>45</v>
      </c>
      <c r="F315" t="s">
        <v>14</v>
      </c>
      <c r="G315" s="5">
        <v>45743</v>
      </c>
      <c r="H315" t="str">
        <f t="shared" si="8"/>
        <v>March</v>
      </c>
      <c r="I315" s="5">
        <v>45757</v>
      </c>
      <c r="J315" s="7">
        <f t="shared" si="9"/>
        <v>14</v>
      </c>
      <c r="K315" s="6">
        <v>108262</v>
      </c>
    </row>
    <row r="316" spans="1:11" x14ac:dyDescent="0.3">
      <c r="A316" t="s">
        <v>478</v>
      </c>
      <c r="B316" t="s">
        <v>104</v>
      </c>
      <c r="C316">
        <v>21</v>
      </c>
      <c r="D316" t="s">
        <v>12</v>
      </c>
      <c r="E316" t="s">
        <v>30</v>
      </c>
      <c r="F316" t="s">
        <v>19</v>
      </c>
      <c r="G316" s="5">
        <v>45879</v>
      </c>
      <c r="H316" t="str">
        <f t="shared" si="8"/>
        <v>August</v>
      </c>
      <c r="I316" s="5">
        <v>45890</v>
      </c>
      <c r="J316" s="7">
        <f t="shared" si="9"/>
        <v>11</v>
      </c>
      <c r="K316" s="6">
        <v>116171</v>
      </c>
    </row>
    <row r="317" spans="1:11" x14ac:dyDescent="0.3">
      <c r="A317" t="s">
        <v>479</v>
      </c>
      <c r="B317" t="s">
        <v>146</v>
      </c>
      <c r="C317">
        <v>46</v>
      </c>
      <c r="D317" t="s">
        <v>17</v>
      </c>
      <c r="E317" t="s">
        <v>102</v>
      </c>
      <c r="F317" t="s">
        <v>19</v>
      </c>
      <c r="G317" s="5">
        <v>45865</v>
      </c>
      <c r="H317" t="str">
        <f t="shared" si="8"/>
        <v>July</v>
      </c>
      <c r="I317" s="5">
        <v>45876</v>
      </c>
      <c r="J317" s="7">
        <f t="shared" si="9"/>
        <v>11</v>
      </c>
      <c r="K317" s="6">
        <v>110165</v>
      </c>
    </row>
    <row r="318" spans="1:11" x14ac:dyDescent="0.3">
      <c r="A318" t="s">
        <v>480</v>
      </c>
      <c r="B318" t="s">
        <v>481</v>
      </c>
      <c r="C318">
        <v>66</v>
      </c>
      <c r="D318" t="s">
        <v>12</v>
      </c>
      <c r="E318" t="s">
        <v>13</v>
      </c>
      <c r="F318" t="s">
        <v>14</v>
      </c>
      <c r="G318" s="5">
        <v>45913</v>
      </c>
      <c r="H318" t="str">
        <f t="shared" si="8"/>
        <v>September</v>
      </c>
      <c r="I318" s="5">
        <v>45924</v>
      </c>
      <c r="J318" s="7">
        <f t="shared" si="9"/>
        <v>11</v>
      </c>
      <c r="K318" s="6">
        <v>92202</v>
      </c>
    </row>
    <row r="319" spans="1:11" x14ac:dyDescent="0.3">
      <c r="A319" t="s">
        <v>482</v>
      </c>
      <c r="B319" t="s">
        <v>428</v>
      </c>
      <c r="C319">
        <v>48</v>
      </c>
      <c r="D319" t="s">
        <v>17</v>
      </c>
      <c r="E319" t="s">
        <v>30</v>
      </c>
      <c r="F319" t="s">
        <v>42</v>
      </c>
      <c r="G319" s="5">
        <v>45858</v>
      </c>
      <c r="H319" t="str">
        <f t="shared" si="8"/>
        <v>July</v>
      </c>
      <c r="I319" s="5">
        <v>45861</v>
      </c>
      <c r="J319" s="7">
        <f t="shared" si="9"/>
        <v>3</v>
      </c>
      <c r="K319" s="6">
        <v>13854</v>
      </c>
    </row>
    <row r="320" spans="1:11" x14ac:dyDescent="0.3">
      <c r="A320" t="s">
        <v>483</v>
      </c>
      <c r="B320" t="s">
        <v>484</v>
      </c>
      <c r="C320">
        <v>9</v>
      </c>
      <c r="D320" t="s">
        <v>17</v>
      </c>
      <c r="E320" t="s">
        <v>45</v>
      </c>
      <c r="F320" t="s">
        <v>59</v>
      </c>
      <c r="G320" s="5">
        <v>45918</v>
      </c>
      <c r="H320" t="str">
        <f t="shared" si="8"/>
        <v>September</v>
      </c>
      <c r="I320" s="5">
        <v>45922</v>
      </c>
      <c r="J320" s="7">
        <f t="shared" si="9"/>
        <v>4</v>
      </c>
      <c r="K320" s="6">
        <v>40136</v>
      </c>
    </row>
    <row r="321" spans="1:11" x14ac:dyDescent="0.3">
      <c r="A321" t="s">
        <v>485</v>
      </c>
      <c r="B321" t="s">
        <v>409</v>
      </c>
      <c r="C321">
        <v>74</v>
      </c>
      <c r="D321" t="s">
        <v>12</v>
      </c>
      <c r="E321" t="s">
        <v>26</v>
      </c>
      <c r="F321" t="s">
        <v>34</v>
      </c>
      <c r="G321" s="5">
        <v>45691</v>
      </c>
      <c r="H321" t="str">
        <f t="shared" si="8"/>
        <v>February</v>
      </c>
      <c r="I321" s="5">
        <v>45693</v>
      </c>
      <c r="J321" s="7">
        <f t="shared" si="9"/>
        <v>2</v>
      </c>
      <c r="K321" s="6">
        <v>17708</v>
      </c>
    </row>
    <row r="322" spans="1:11" x14ac:dyDescent="0.3">
      <c r="A322" t="s">
        <v>486</v>
      </c>
      <c r="B322" t="s">
        <v>464</v>
      </c>
      <c r="C322">
        <v>39</v>
      </c>
      <c r="D322" t="s">
        <v>12</v>
      </c>
      <c r="E322" t="s">
        <v>45</v>
      </c>
      <c r="F322" t="s">
        <v>19</v>
      </c>
      <c r="G322" s="5">
        <v>45795</v>
      </c>
      <c r="H322" t="str">
        <f t="shared" ref="H322:H385" si="10">TEXT(G322,"mmmm")</f>
        <v>May</v>
      </c>
      <c r="I322" s="5">
        <v>45808</v>
      </c>
      <c r="J322" s="7">
        <f t="shared" si="9"/>
        <v>13</v>
      </c>
      <c r="K322" s="6">
        <v>132340</v>
      </c>
    </row>
    <row r="323" spans="1:11" x14ac:dyDescent="0.3">
      <c r="A323" t="s">
        <v>487</v>
      </c>
      <c r="B323" t="s">
        <v>47</v>
      </c>
      <c r="C323">
        <v>12</v>
      </c>
      <c r="D323" t="s">
        <v>12</v>
      </c>
      <c r="E323" t="s">
        <v>45</v>
      </c>
      <c r="F323" t="s">
        <v>27</v>
      </c>
      <c r="G323" s="5">
        <v>45663</v>
      </c>
      <c r="H323" t="str">
        <f t="shared" si="10"/>
        <v>January</v>
      </c>
      <c r="I323" s="5">
        <v>45671</v>
      </c>
      <c r="J323" s="7">
        <f t="shared" ref="J323:J386" si="11">I323-G323</f>
        <v>8</v>
      </c>
      <c r="K323" s="6">
        <v>71608</v>
      </c>
    </row>
    <row r="324" spans="1:11" x14ac:dyDescent="0.3">
      <c r="A324" t="s">
        <v>488</v>
      </c>
      <c r="B324" t="s">
        <v>52</v>
      </c>
      <c r="C324">
        <v>44</v>
      </c>
      <c r="D324" t="s">
        <v>17</v>
      </c>
      <c r="E324" t="s">
        <v>48</v>
      </c>
      <c r="F324" t="s">
        <v>19</v>
      </c>
      <c r="G324" s="5">
        <v>46018</v>
      </c>
      <c r="H324" t="str">
        <f t="shared" si="10"/>
        <v>December</v>
      </c>
      <c r="I324" s="5">
        <v>46023</v>
      </c>
      <c r="J324" s="7">
        <f t="shared" si="11"/>
        <v>5</v>
      </c>
      <c r="K324" s="6">
        <v>52565</v>
      </c>
    </row>
    <row r="325" spans="1:11" x14ac:dyDescent="0.3">
      <c r="A325" t="s">
        <v>489</v>
      </c>
      <c r="B325" t="s">
        <v>288</v>
      </c>
      <c r="C325">
        <v>43</v>
      </c>
      <c r="D325" t="s">
        <v>12</v>
      </c>
      <c r="E325" t="s">
        <v>45</v>
      </c>
      <c r="F325" t="s">
        <v>23</v>
      </c>
      <c r="G325" s="5">
        <v>45930</v>
      </c>
      <c r="H325" t="str">
        <f t="shared" si="10"/>
        <v>September</v>
      </c>
      <c r="I325" s="5">
        <v>45937</v>
      </c>
      <c r="J325" s="7">
        <f t="shared" si="11"/>
        <v>7</v>
      </c>
      <c r="K325" s="6">
        <v>62517</v>
      </c>
    </row>
    <row r="326" spans="1:11" x14ac:dyDescent="0.3">
      <c r="A326" t="s">
        <v>490</v>
      </c>
      <c r="B326" t="s">
        <v>50</v>
      </c>
      <c r="C326">
        <v>69</v>
      </c>
      <c r="D326" t="s">
        <v>12</v>
      </c>
      <c r="E326" t="s">
        <v>39</v>
      </c>
      <c r="F326" t="s">
        <v>14</v>
      </c>
      <c r="G326" s="5">
        <v>45772</v>
      </c>
      <c r="H326" t="str">
        <f t="shared" si="10"/>
        <v>April</v>
      </c>
      <c r="I326" s="5">
        <v>45787</v>
      </c>
      <c r="J326" s="7">
        <f t="shared" si="11"/>
        <v>15</v>
      </c>
      <c r="K326" s="6">
        <v>175035</v>
      </c>
    </row>
    <row r="327" spans="1:11" x14ac:dyDescent="0.3">
      <c r="A327" t="s">
        <v>491</v>
      </c>
      <c r="B327" t="s">
        <v>397</v>
      </c>
      <c r="C327">
        <v>12</v>
      </c>
      <c r="D327" t="s">
        <v>12</v>
      </c>
      <c r="E327" t="s">
        <v>13</v>
      </c>
      <c r="F327" t="s">
        <v>27</v>
      </c>
      <c r="G327" s="5">
        <v>45742</v>
      </c>
      <c r="H327" t="str">
        <f t="shared" si="10"/>
        <v>March</v>
      </c>
      <c r="I327" s="5">
        <v>45747</v>
      </c>
      <c r="J327" s="7">
        <f t="shared" si="11"/>
        <v>5</v>
      </c>
      <c r="K327" s="6">
        <v>52710</v>
      </c>
    </row>
    <row r="328" spans="1:11" x14ac:dyDescent="0.3">
      <c r="A328" t="s">
        <v>492</v>
      </c>
      <c r="B328" t="s">
        <v>294</v>
      </c>
      <c r="C328">
        <v>58</v>
      </c>
      <c r="D328" t="s">
        <v>12</v>
      </c>
      <c r="E328" t="s">
        <v>33</v>
      </c>
      <c r="F328" t="s">
        <v>23</v>
      </c>
      <c r="G328" s="5">
        <v>45677</v>
      </c>
      <c r="H328" t="str">
        <f t="shared" si="10"/>
        <v>January</v>
      </c>
      <c r="I328" s="5">
        <v>45688</v>
      </c>
      <c r="J328" s="7">
        <f t="shared" si="11"/>
        <v>11</v>
      </c>
      <c r="K328" s="6">
        <v>69179</v>
      </c>
    </row>
    <row r="329" spans="1:11" x14ac:dyDescent="0.3">
      <c r="A329" t="s">
        <v>493</v>
      </c>
      <c r="B329" t="s">
        <v>426</v>
      </c>
      <c r="C329">
        <v>57</v>
      </c>
      <c r="D329" t="s">
        <v>17</v>
      </c>
      <c r="E329" t="s">
        <v>33</v>
      </c>
      <c r="F329" t="s">
        <v>59</v>
      </c>
      <c r="G329" s="5">
        <v>45758</v>
      </c>
      <c r="H329" t="str">
        <f t="shared" si="10"/>
        <v>April</v>
      </c>
      <c r="I329" s="5">
        <v>45772</v>
      </c>
      <c r="J329" s="7">
        <f t="shared" si="11"/>
        <v>14</v>
      </c>
      <c r="K329" s="6">
        <v>167104</v>
      </c>
    </row>
    <row r="330" spans="1:11" x14ac:dyDescent="0.3">
      <c r="A330" t="s">
        <v>494</v>
      </c>
      <c r="B330" t="s">
        <v>241</v>
      </c>
      <c r="C330">
        <v>13</v>
      </c>
      <c r="D330" t="s">
        <v>12</v>
      </c>
      <c r="E330" t="s">
        <v>26</v>
      </c>
      <c r="F330" t="s">
        <v>62</v>
      </c>
      <c r="G330" s="5">
        <v>45746</v>
      </c>
      <c r="H330" t="str">
        <f t="shared" si="10"/>
        <v>March</v>
      </c>
      <c r="I330" s="5">
        <v>45757</v>
      </c>
      <c r="J330" s="7">
        <f t="shared" si="11"/>
        <v>11</v>
      </c>
      <c r="K330" s="6">
        <v>54175</v>
      </c>
    </row>
    <row r="331" spans="1:11" x14ac:dyDescent="0.3">
      <c r="A331" t="s">
        <v>495</v>
      </c>
      <c r="B331" t="s">
        <v>256</v>
      </c>
      <c r="C331">
        <v>80</v>
      </c>
      <c r="D331" t="s">
        <v>17</v>
      </c>
      <c r="E331" t="s">
        <v>33</v>
      </c>
      <c r="F331" t="s">
        <v>34</v>
      </c>
      <c r="G331" s="5">
        <v>45718</v>
      </c>
      <c r="H331" t="str">
        <f t="shared" si="10"/>
        <v>March</v>
      </c>
      <c r="I331" s="5">
        <v>45732</v>
      </c>
      <c r="J331" s="7">
        <f t="shared" si="11"/>
        <v>14</v>
      </c>
      <c r="K331" s="6">
        <v>114296</v>
      </c>
    </row>
    <row r="332" spans="1:11" x14ac:dyDescent="0.3">
      <c r="A332" t="s">
        <v>496</v>
      </c>
      <c r="B332" t="s">
        <v>160</v>
      </c>
      <c r="C332">
        <v>20</v>
      </c>
      <c r="D332" t="s">
        <v>12</v>
      </c>
      <c r="E332" t="s">
        <v>33</v>
      </c>
      <c r="F332" t="s">
        <v>62</v>
      </c>
      <c r="G332" s="5">
        <v>45859</v>
      </c>
      <c r="H332" t="str">
        <f t="shared" si="10"/>
        <v>July</v>
      </c>
      <c r="I332" s="5">
        <v>45862</v>
      </c>
      <c r="J332" s="7">
        <f t="shared" si="11"/>
        <v>3</v>
      </c>
      <c r="K332" s="6">
        <v>35220</v>
      </c>
    </row>
    <row r="333" spans="1:11" x14ac:dyDescent="0.3">
      <c r="A333" t="s">
        <v>497</v>
      </c>
      <c r="B333" t="s">
        <v>217</v>
      </c>
      <c r="C333">
        <v>19</v>
      </c>
      <c r="D333" t="s">
        <v>17</v>
      </c>
      <c r="E333" t="s">
        <v>18</v>
      </c>
      <c r="F333" t="s">
        <v>23</v>
      </c>
      <c r="G333" s="5">
        <v>45867</v>
      </c>
      <c r="H333" t="str">
        <f t="shared" si="10"/>
        <v>July</v>
      </c>
      <c r="I333" s="5">
        <v>45881</v>
      </c>
      <c r="J333" s="7">
        <f t="shared" si="11"/>
        <v>14</v>
      </c>
      <c r="K333" s="6">
        <v>58128</v>
      </c>
    </row>
    <row r="334" spans="1:11" x14ac:dyDescent="0.3">
      <c r="A334" t="s">
        <v>498</v>
      </c>
      <c r="B334" t="s">
        <v>288</v>
      </c>
      <c r="C334">
        <v>14</v>
      </c>
      <c r="D334" t="s">
        <v>12</v>
      </c>
      <c r="E334" t="s">
        <v>22</v>
      </c>
      <c r="F334" t="s">
        <v>27</v>
      </c>
      <c r="G334" s="5">
        <v>46022</v>
      </c>
      <c r="H334" t="str">
        <f t="shared" si="10"/>
        <v>December</v>
      </c>
      <c r="I334" s="5">
        <v>46029</v>
      </c>
      <c r="J334" s="7">
        <f t="shared" si="11"/>
        <v>7</v>
      </c>
      <c r="K334" s="6">
        <v>28924</v>
      </c>
    </row>
    <row r="335" spans="1:11" x14ac:dyDescent="0.3">
      <c r="A335" t="s">
        <v>499</v>
      </c>
      <c r="B335" t="s">
        <v>211</v>
      </c>
      <c r="C335">
        <v>50</v>
      </c>
      <c r="D335" t="s">
        <v>17</v>
      </c>
      <c r="E335" t="s">
        <v>30</v>
      </c>
      <c r="F335" t="s">
        <v>14</v>
      </c>
      <c r="G335" s="5">
        <v>45674</v>
      </c>
      <c r="H335" t="str">
        <f t="shared" si="10"/>
        <v>January</v>
      </c>
      <c r="I335" s="5">
        <v>45687</v>
      </c>
      <c r="J335" s="7">
        <f t="shared" si="11"/>
        <v>13</v>
      </c>
      <c r="K335" s="6">
        <v>144014</v>
      </c>
    </row>
    <row r="336" spans="1:11" x14ac:dyDescent="0.3">
      <c r="A336" t="s">
        <v>500</v>
      </c>
      <c r="B336" t="s">
        <v>86</v>
      </c>
      <c r="C336">
        <v>9</v>
      </c>
      <c r="D336" t="s">
        <v>12</v>
      </c>
      <c r="E336" t="s">
        <v>13</v>
      </c>
      <c r="F336" t="s">
        <v>23</v>
      </c>
      <c r="G336" s="5">
        <v>45980</v>
      </c>
      <c r="H336" t="str">
        <f t="shared" si="10"/>
        <v>November</v>
      </c>
      <c r="I336" s="5">
        <v>45984</v>
      </c>
      <c r="J336" s="7">
        <f t="shared" si="11"/>
        <v>4</v>
      </c>
      <c r="K336" s="6">
        <v>34224</v>
      </c>
    </row>
    <row r="337" spans="1:11" x14ac:dyDescent="0.3">
      <c r="A337" t="s">
        <v>501</v>
      </c>
      <c r="B337" t="s">
        <v>66</v>
      </c>
      <c r="C337">
        <v>36</v>
      </c>
      <c r="D337" t="s">
        <v>12</v>
      </c>
      <c r="E337" t="s">
        <v>18</v>
      </c>
      <c r="F337" t="s">
        <v>59</v>
      </c>
      <c r="G337" s="5">
        <v>45743</v>
      </c>
      <c r="H337" t="str">
        <f t="shared" si="10"/>
        <v>March</v>
      </c>
      <c r="I337" s="5">
        <v>45746</v>
      </c>
      <c r="J337" s="7">
        <f t="shared" si="11"/>
        <v>3</v>
      </c>
      <c r="K337" s="6">
        <v>20769</v>
      </c>
    </row>
    <row r="338" spans="1:11" x14ac:dyDescent="0.3">
      <c r="A338" t="s">
        <v>502</v>
      </c>
      <c r="B338" t="s">
        <v>11</v>
      </c>
      <c r="C338">
        <v>75</v>
      </c>
      <c r="D338" t="s">
        <v>12</v>
      </c>
      <c r="E338" t="s">
        <v>13</v>
      </c>
      <c r="F338" t="s">
        <v>23</v>
      </c>
      <c r="G338" s="5">
        <v>45929</v>
      </c>
      <c r="H338" t="str">
        <f t="shared" si="10"/>
        <v>September</v>
      </c>
      <c r="I338" s="5">
        <v>45944</v>
      </c>
      <c r="J338" s="7">
        <f t="shared" si="11"/>
        <v>15</v>
      </c>
      <c r="K338" s="6">
        <v>80550</v>
      </c>
    </row>
    <row r="339" spans="1:11" x14ac:dyDescent="0.3">
      <c r="A339" t="s">
        <v>503</v>
      </c>
      <c r="B339" t="s">
        <v>471</v>
      </c>
      <c r="C339">
        <v>66</v>
      </c>
      <c r="D339" t="s">
        <v>17</v>
      </c>
      <c r="E339" t="s">
        <v>102</v>
      </c>
      <c r="F339" t="s">
        <v>59</v>
      </c>
      <c r="G339" s="5">
        <v>45906</v>
      </c>
      <c r="H339" t="str">
        <f t="shared" si="10"/>
        <v>September</v>
      </c>
      <c r="I339" s="5">
        <v>45909</v>
      </c>
      <c r="J339" s="7">
        <f t="shared" si="11"/>
        <v>3</v>
      </c>
      <c r="K339" s="6">
        <v>35112</v>
      </c>
    </row>
    <row r="340" spans="1:11" x14ac:dyDescent="0.3">
      <c r="A340" t="s">
        <v>504</v>
      </c>
      <c r="B340" t="s">
        <v>134</v>
      </c>
      <c r="C340">
        <v>39</v>
      </c>
      <c r="D340" t="s">
        <v>17</v>
      </c>
      <c r="E340" t="s">
        <v>13</v>
      </c>
      <c r="F340" t="s">
        <v>59</v>
      </c>
      <c r="G340" s="5">
        <v>45973</v>
      </c>
      <c r="H340" t="str">
        <f t="shared" si="10"/>
        <v>November</v>
      </c>
      <c r="I340" s="5">
        <v>45983</v>
      </c>
      <c r="J340" s="7">
        <f t="shared" si="11"/>
        <v>10</v>
      </c>
      <c r="K340" s="6">
        <v>115880</v>
      </c>
    </row>
    <row r="341" spans="1:11" x14ac:dyDescent="0.3">
      <c r="A341" t="s">
        <v>505</v>
      </c>
      <c r="B341" t="s">
        <v>371</v>
      </c>
      <c r="C341">
        <v>15</v>
      </c>
      <c r="D341" t="s">
        <v>12</v>
      </c>
      <c r="E341" t="s">
        <v>26</v>
      </c>
      <c r="F341" t="s">
        <v>19</v>
      </c>
      <c r="G341" s="5">
        <v>46021</v>
      </c>
      <c r="H341" t="str">
        <f t="shared" si="10"/>
        <v>December</v>
      </c>
      <c r="I341" s="5">
        <v>46026</v>
      </c>
      <c r="J341" s="7">
        <f t="shared" si="11"/>
        <v>5</v>
      </c>
      <c r="K341" s="6">
        <v>33170</v>
      </c>
    </row>
    <row r="342" spans="1:11" x14ac:dyDescent="0.3">
      <c r="A342" t="s">
        <v>506</v>
      </c>
      <c r="B342" t="s">
        <v>353</v>
      </c>
      <c r="C342">
        <v>35</v>
      </c>
      <c r="D342" t="s">
        <v>17</v>
      </c>
      <c r="E342" t="s">
        <v>22</v>
      </c>
      <c r="F342" t="s">
        <v>23</v>
      </c>
      <c r="G342" s="5">
        <v>46015</v>
      </c>
      <c r="H342" t="str">
        <f t="shared" si="10"/>
        <v>December</v>
      </c>
      <c r="I342" s="5">
        <v>46018</v>
      </c>
      <c r="J342" s="7">
        <f t="shared" si="11"/>
        <v>3</v>
      </c>
      <c r="K342" s="6">
        <v>25176</v>
      </c>
    </row>
    <row r="343" spans="1:11" x14ac:dyDescent="0.3">
      <c r="A343" t="s">
        <v>507</v>
      </c>
      <c r="B343" t="s">
        <v>267</v>
      </c>
      <c r="C343">
        <v>43</v>
      </c>
      <c r="D343" t="s">
        <v>12</v>
      </c>
      <c r="E343" t="s">
        <v>33</v>
      </c>
      <c r="F343" t="s">
        <v>62</v>
      </c>
      <c r="G343" s="5">
        <v>45990</v>
      </c>
      <c r="H343" t="str">
        <f t="shared" si="10"/>
        <v>November</v>
      </c>
      <c r="I343" s="5">
        <v>46001</v>
      </c>
      <c r="J343" s="7">
        <f t="shared" si="11"/>
        <v>11</v>
      </c>
      <c r="K343" s="6">
        <v>95260</v>
      </c>
    </row>
    <row r="344" spans="1:11" x14ac:dyDescent="0.3">
      <c r="A344" t="s">
        <v>508</v>
      </c>
      <c r="B344" t="s">
        <v>164</v>
      </c>
      <c r="C344">
        <v>45</v>
      </c>
      <c r="D344" t="s">
        <v>17</v>
      </c>
      <c r="E344" t="s">
        <v>39</v>
      </c>
      <c r="F344" t="s">
        <v>23</v>
      </c>
      <c r="G344" s="5">
        <v>45779</v>
      </c>
      <c r="H344" t="str">
        <f t="shared" si="10"/>
        <v>May</v>
      </c>
      <c r="I344" s="5">
        <v>45781</v>
      </c>
      <c r="J344" s="7">
        <f t="shared" si="11"/>
        <v>2</v>
      </c>
      <c r="K344" s="6">
        <v>17404</v>
      </c>
    </row>
    <row r="345" spans="1:11" x14ac:dyDescent="0.3">
      <c r="A345" t="s">
        <v>509</v>
      </c>
      <c r="B345" t="s">
        <v>58</v>
      </c>
      <c r="C345">
        <v>63</v>
      </c>
      <c r="D345" t="s">
        <v>12</v>
      </c>
      <c r="E345" t="s">
        <v>18</v>
      </c>
      <c r="F345" t="s">
        <v>62</v>
      </c>
      <c r="G345" s="5">
        <v>45696</v>
      </c>
      <c r="H345" t="str">
        <f t="shared" si="10"/>
        <v>February</v>
      </c>
      <c r="I345" s="5">
        <v>45705</v>
      </c>
      <c r="J345" s="7">
        <f t="shared" si="11"/>
        <v>9</v>
      </c>
      <c r="K345" s="6">
        <v>104463</v>
      </c>
    </row>
    <row r="346" spans="1:11" x14ac:dyDescent="0.3">
      <c r="A346" t="s">
        <v>510</v>
      </c>
      <c r="B346" t="s">
        <v>56</v>
      </c>
      <c r="C346">
        <v>20</v>
      </c>
      <c r="D346" t="s">
        <v>17</v>
      </c>
      <c r="E346" t="s">
        <v>22</v>
      </c>
      <c r="F346" t="s">
        <v>34</v>
      </c>
      <c r="G346" s="5">
        <v>45682</v>
      </c>
      <c r="H346" t="str">
        <f t="shared" si="10"/>
        <v>January</v>
      </c>
      <c r="I346" s="5">
        <v>45691</v>
      </c>
      <c r="J346" s="7">
        <f t="shared" si="11"/>
        <v>9</v>
      </c>
      <c r="K346" s="6">
        <v>40707</v>
      </c>
    </row>
    <row r="347" spans="1:11" x14ac:dyDescent="0.3">
      <c r="A347" t="s">
        <v>511</v>
      </c>
      <c r="B347" t="s">
        <v>146</v>
      </c>
      <c r="C347">
        <v>40</v>
      </c>
      <c r="D347" t="s">
        <v>17</v>
      </c>
      <c r="E347" t="s">
        <v>48</v>
      </c>
      <c r="F347" t="s">
        <v>59</v>
      </c>
      <c r="G347" s="5">
        <v>45704</v>
      </c>
      <c r="H347" t="str">
        <f t="shared" si="10"/>
        <v>February</v>
      </c>
      <c r="I347" s="5">
        <v>45709</v>
      </c>
      <c r="J347" s="7">
        <f t="shared" si="11"/>
        <v>5</v>
      </c>
      <c r="K347" s="6">
        <v>48395</v>
      </c>
    </row>
    <row r="348" spans="1:11" x14ac:dyDescent="0.3">
      <c r="A348" t="s">
        <v>512</v>
      </c>
      <c r="B348" t="s">
        <v>52</v>
      </c>
      <c r="C348">
        <v>90</v>
      </c>
      <c r="D348" t="s">
        <v>12</v>
      </c>
      <c r="E348" t="s">
        <v>18</v>
      </c>
      <c r="F348" t="s">
        <v>19</v>
      </c>
      <c r="G348" s="5">
        <v>45677</v>
      </c>
      <c r="H348" t="str">
        <f t="shared" si="10"/>
        <v>January</v>
      </c>
      <c r="I348" s="5">
        <v>45686</v>
      </c>
      <c r="J348" s="7">
        <f t="shared" si="11"/>
        <v>9</v>
      </c>
      <c r="K348" s="6">
        <v>62307</v>
      </c>
    </row>
    <row r="349" spans="1:11" x14ac:dyDescent="0.3">
      <c r="A349" t="s">
        <v>513</v>
      </c>
      <c r="B349" t="s">
        <v>171</v>
      </c>
      <c r="C349">
        <v>76</v>
      </c>
      <c r="D349" t="s">
        <v>17</v>
      </c>
      <c r="E349" t="s">
        <v>102</v>
      </c>
      <c r="F349" t="s">
        <v>14</v>
      </c>
      <c r="G349" s="5">
        <v>45896</v>
      </c>
      <c r="H349" t="str">
        <f t="shared" si="10"/>
        <v>August</v>
      </c>
      <c r="I349" s="5">
        <v>45899</v>
      </c>
      <c r="J349" s="7">
        <f t="shared" si="11"/>
        <v>3</v>
      </c>
      <c r="K349" s="6">
        <v>26649</v>
      </c>
    </row>
    <row r="350" spans="1:11" x14ac:dyDescent="0.3">
      <c r="A350" t="s">
        <v>514</v>
      </c>
      <c r="B350" t="s">
        <v>306</v>
      </c>
      <c r="C350">
        <v>70</v>
      </c>
      <c r="D350" t="s">
        <v>12</v>
      </c>
      <c r="E350" t="s">
        <v>102</v>
      </c>
      <c r="F350" t="s">
        <v>27</v>
      </c>
      <c r="G350" s="5">
        <v>45858</v>
      </c>
      <c r="H350" t="str">
        <f t="shared" si="10"/>
        <v>July</v>
      </c>
      <c r="I350" s="5">
        <v>45864</v>
      </c>
      <c r="J350" s="7">
        <f t="shared" si="11"/>
        <v>6</v>
      </c>
      <c r="K350" s="6">
        <v>65322</v>
      </c>
    </row>
    <row r="351" spans="1:11" x14ac:dyDescent="0.3">
      <c r="A351" t="s">
        <v>515</v>
      </c>
      <c r="B351" t="s">
        <v>308</v>
      </c>
      <c r="C351">
        <v>81</v>
      </c>
      <c r="D351" t="s">
        <v>17</v>
      </c>
      <c r="E351" t="s">
        <v>45</v>
      </c>
      <c r="F351" t="s">
        <v>14</v>
      </c>
      <c r="G351" s="5">
        <v>45911</v>
      </c>
      <c r="H351" t="str">
        <f t="shared" si="10"/>
        <v>September</v>
      </c>
      <c r="I351" s="5">
        <v>45919</v>
      </c>
      <c r="J351" s="7">
        <f t="shared" si="11"/>
        <v>8</v>
      </c>
      <c r="K351" s="6">
        <v>63888</v>
      </c>
    </row>
    <row r="352" spans="1:11" x14ac:dyDescent="0.3">
      <c r="A352" t="s">
        <v>516</v>
      </c>
      <c r="B352" t="s">
        <v>426</v>
      </c>
      <c r="C352">
        <v>48</v>
      </c>
      <c r="D352" t="s">
        <v>17</v>
      </c>
      <c r="E352" t="s">
        <v>18</v>
      </c>
      <c r="F352" t="s">
        <v>42</v>
      </c>
      <c r="G352" s="5">
        <v>45729</v>
      </c>
      <c r="H352" t="str">
        <f t="shared" si="10"/>
        <v>March</v>
      </c>
      <c r="I352" s="5">
        <v>45733</v>
      </c>
      <c r="J352" s="7">
        <f t="shared" si="11"/>
        <v>4</v>
      </c>
      <c r="K352" s="6">
        <v>33732</v>
      </c>
    </row>
    <row r="353" spans="1:11" x14ac:dyDescent="0.3">
      <c r="A353" t="s">
        <v>517</v>
      </c>
      <c r="B353" t="s">
        <v>238</v>
      </c>
      <c r="C353">
        <v>63</v>
      </c>
      <c r="D353" t="s">
        <v>12</v>
      </c>
      <c r="E353" t="s">
        <v>22</v>
      </c>
      <c r="F353" t="s">
        <v>62</v>
      </c>
      <c r="G353" s="5">
        <v>45975</v>
      </c>
      <c r="H353" t="str">
        <f t="shared" si="10"/>
        <v>November</v>
      </c>
      <c r="I353" s="5">
        <v>45984</v>
      </c>
      <c r="J353" s="7">
        <f t="shared" si="11"/>
        <v>9</v>
      </c>
      <c r="K353" s="6">
        <v>79740</v>
      </c>
    </row>
    <row r="354" spans="1:11" x14ac:dyDescent="0.3">
      <c r="A354" t="s">
        <v>518</v>
      </c>
      <c r="B354" t="s">
        <v>64</v>
      </c>
      <c r="C354">
        <v>5</v>
      </c>
      <c r="D354" t="s">
        <v>17</v>
      </c>
      <c r="E354" t="s">
        <v>22</v>
      </c>
      <c r="F354" t="s">
        <v>23</v>
      </c>
      <c r="G354" s="5">
        <v>45992</v>
      </c>
      <c r="H354" t="str">
        <f t="shared" si="10"/>
        <v>December</v>
      </c>
      <c r="I354" s="5">
        <v>45996</v>
      </c>
      <c r="J354" s="7">
        <f t="shared" si="11"/>
        <v>4</v>
      </c>
      <c r="K354" s="6">
        <v>44192</v>
      </c>
    </row>
    <row r="355" spans="1:11" x14ac:dyDescent="0.3">
      <c r="A355" t="s">
        <v>519</v>
      </c>
      <c r="B355" t="s">
        <v>125</v>
      </c>
      <c r="C355">
        <v>40</v>
      </c>
      <c r="D355" t="s">
        <v>17</v>
      </c>
      <c r="E355" t="s">
        <v>33</v>
      </c>
      <c r="F355" t="s">
        <v>42</v>
      </c>
      <c r="G355" s="5">
        <v>45787</v>
      </c>
      <c r="H355" t="str">
        <f t="shared" si="10"/>
        <v>May</v>
      </c>
      <c r="I355" s="5">
        <v>45797</v>
      </c>
      <c r="J355" s="7">
        <f t="shared" si="11"/>
        <v>10</v>
      </c>
      <c r="K355" s="6">
        <v>63580</v>
      </c>
    </row>
    <row r="356" spans="1:11" x14ac:dyDescent="0.3">
      <c r="A356" t="s">
        <v>520</v>
      </c>
      <c r="B356" t="s">
        <v>151</v>
      </c>
      <c r="C356">
        <v>70</v>
      </c>
      <c r="D356" t="s">
        <v>17</v>
      </c>
      <c r="E356" t="s">
        <v>18</v>
      </c>
      <c r="F356" t="s">
        <v>14</v>
      </c>
      <c r="G356" s="5">
        <v>45850</v>
      </c>
      <c r="H356" t="str">
        <f t="shared" si="10"/>
        <v>July</v>
      </c>
      <c r="I356" s="5">
        <v>45857</v>
      </c>
      <c r="J356" s="7">
        <f t="shared" si="11"/>
        <v>7</v>
      </c>
      <c r="K356" s="6">
        <v>73108</v>
      </c>
    </row>
    <row r="357" spans="1:11" x14ac:dyDescent="0.3">
      <c r="A357" t="s">
        <v>521</v>
      </c>
      <c r="B357" t="s">
        <v>66</v>
      </c>
      <c r="C357">
        <v>48</v>
      </c>
      <c r="D357" t="s">
        <v>17</v>
      </c>
      <c r="E357" t="s">
        <v>33</v>
      </c>
      <c r="F357" t="s">
        <v>23</v>
      </c>
      <c r="G357" s="5">
        <v>45819</v>
      </c>
      <c r="H357" t="str">
        <f t="shared" si="10"/>
        <v>June</v>
      </c>
      <c r="I357" s="5">
        <v>45826</v>
      </c>
      <c r="J357" s="7">
        <f t="shared" si="11"/>
        <v>7</v>
      </c>
      <c r="K357" s="6">
        <v>77637</v>
      </c>
    </row>
    <row r="358" spans="1:11" x14ac:dyDescent="0.3">
      <c r="A358" t="s">
        <v>522</v>
      </c>
      <c r="B358" t="s">
        <v>236</v>
      </c>
      <c r="C358">
        <v>39</v>
      </c>
      <c r="D358" t="s">
        <v>17</v>
      </c>
      <c r="E358" t="s">
        <v>26</v>
      </c>
      <c r="F358" t="s">
        <v>59</v>
      </c>
      <c r="G358" s="5">
        <v>45935</v>
      </c>
      <c r="H358" t="str">
        <f t="shared" si="10"/>
        <v>October</v>
      </c>
      <c r="I358" s="5">
        <v>45936</v>
      </c>
      <c r="J358" s="7">
        <f t="shared" si="11"/>
        <v>1</v>
      </c>
      <c r="K358" s="6">
        <v>8791</v>
      </c>
    </row>
    <row r="359" spans="1:11" x14ac:dyDescent="0.3">
      <c r="A359" t="s">
        <v>523</v>
      </c>
      <c r="B359" t="s">
        <v>461</v>
      </c>
      <c r="C359">
        <v>19</v>
      </c>
      <c r="D359" t="s">
        <v>17</v>
      </c>
      <c r="E359" t="s">
        <v>45</v>
      </c>
      <c r="F359" t="s">
        <v>14</v>
      </c>
      <c r="G359" s="5">
        <v>46022</v>
      </c>
      <c r="H359" t="str">
        <f t="shared" si="10"/>
        <v>December</v>
      </c>
      <c r="I359" s="5">
        <v>46034</v>
      </c>
      <c r="J359" s="7">
        <f t="shared" si="11"/>
        <v>12</v>
      </c>
      <c r="K359" s="6">
        <v>54576</v>
      </c>
    </row>
    <row r="360" spans="1:11" x14ac:dyDescent="0.3">
      <c r="A360" t="s">
        <v>524</v>
      </c>
      <c r="B360" t="s">
        <v>58</v>
      </c>
      <c r="C360">
        <v>87</v>
      </c>
      <c r="D360" t="s">
        <v>12</v>
      </c>
      <c r="E360" t="s">
        <v>30</v>
      </c>
      <c r="F360" t="s">
        <v>27</v>
      </c>
      <c r="G360" s="5">
        <v>45784</v>
      </c>
      <c r="H360" t="str">
        <f t="shared" si="10"/>
        <v>May</v>
      </c>
      <c r="I360" s="5">
        <v>45797</v>
      </c>
      <c r="J360" s="7">
        <f t="shared" si="11"/>
        <v>13</v>
      </c>
      <c r="K360" s="6">
        <v>148291</v>
      </c>
    </row>
    <row r="361" spans="1:11" x14ac:dyDescent="0.3">
      <c r="A361" t="s">
        <v>525</v>
      </c>
      <c r="B361" t="s">
        <v>47</v>
      </c>
      <c r="C361">
        <v>75</v>
      </c>
      <c r="D361" t="s">
        <v>12</v>
      </c>
      <c r="E361" t="s">
        <v>33</v>
      </c>
      <c r="F361" t="s">
        <v>42</v>
      </c>
      <c r="G361" s="5">
        <v>45903</v>
      </c>
      <c r="H361" t="str">
        <f t="shared" si="10"/>
        <v>September</v>
      </c>
      <c r="I361" s="5">
        <v>45906</v>
      </c>
      <c r="J361" s="7">
        <f t="shared" si="11"/>
        <v>3</v>
      </c>
      <c r="K361" s="6">
        <v>29802</v>
      </c>
    </row>
    <row r="362" spans="1:11" x14ac:dyDescent="0.3">
      <c r="A362" t="s">
        <v>526</v>
      </c>
      <c r="B362" t="s">
        <v>86</v>
      </c>
      <c r="C362">
        <v>13</v>
      </c>
      <c r="D362" t="s">
        <v>12</v>
      </c>
      <c r="E362" t="s">
        <v>22</v>
      </c>
      <c r="F362" t="s">
        <v>59</v>
      </c>
      <c r="G362" s="5">
        <v>45734</v>
      </c>
      <c r="H362" t="str">
        <f t="shared" si="10"/>
        <v>March</v>
      </c>
      <c r="I362" s="5">
        <v>45742</v>
      </c>
      <c r="J362" s="7">
        <f t="shared" si="11"/>
        <v>8</v>
      </c>
      <c r="K362" s="6">
        <v>85216</v>
      </c>
    </row>
    <row r="363" spans="1:11" x14ac:dyDescent="0.3">
      <c r="A363" t="s">
        <v>527</v>
      </c>
      <c r="B363" t="s">
        <v>375</v>
      </c>
      <c r="C363">
        <v>4</v>
      </c>
      <c r="D363" t="s">
        <v>17</v>
      </c>
      <c r="E363" t="s">
        <v>13</v>
      </c>
      <c r="F363" t="s">
        <v>59</v>
      </c>
      <c r="G363" s="5">
        <v>45933</v>
      </c>
      <c r="H363" t="str">
        <f t="shared" si="10"/>
        <v>October</v>
      </c>
      <c r="I363" s="5">
        <v>45941</v>
      </c>
      <c r="J363" s="7">
        <f t="shared" si="11"/>
        <v>8</v>
      </c>
      <c r="K363" s="6">
        <v>33080</v>
      </c>
    </row>
    <row r="364" spans="1:11" x14ac:dyDescent="0.3">
      <c r="A364" t="s">
        <v>528</v>
      </c>
      <c r="B364" t="s">
        <v>330</v>
      </c>
      <c r="C364">
        <v>16</v>
      </c>
      <c r="D364" t="s">
        <v>17</v>
      </c>
      <c r="E364" t="s">
        <v>33</v>
      </c>
      <c r="F364" t="s">
        <v>42</v>
      </c>
      <c r="G364" s="5">
        <v>45684</v>
      </c>
      <c r="H364" t="str">
        <f t="shared" si="10"/>
        <v>January</v>
      </c>
      <c r="I364" s="5">
        <v>45688</v>
      </c>
      <c r="J364" s="7">
        <f t="shared" si="11"/>
        <v>4</v>
      </c>
      <c r="K364" s="6">
        <v>35128</v>
      </c>
    </row>
    <row r="365" spans="1:11" x14ac:dyDescent="0.3">
      <c r="A365" t="s">
        <v>529</v>
      </c>
      <c r="B365" t="s">
        <v>162</v>
      </c>
      <c r="C365">
        <v>18</v>
      </c>
      <c r="D365" t="s">
        <v>17</v>
      </c>
      <c r="E365" t="s">
        <v>13</v>
      </c>
      <c r="F365" t="s">
        <v>27</v>
      </c>
      <c r="G365" s="5">
        <v>45961</v>
      </c>
      <c r="H365" t="str">
        <f t="shared" si="10"/>
        <v>October</v>
      </c>
      <c r="I365" s="5">
        <v>45963</v>
      </c>
      <c r="J365" s="7">
        <f t="shared" si="11"/>
        <v>2</v>
      </c>
      <c r="K365" s="6">
        <v>11896</v>
      </c>
    </row>
    <row r="366" spans="1:11" x14ac:dyDescent="0.3">
      <c r="A366" t="s">
        <v>530</v>
      </c>
      <c r="B366" t="s">
        <v>58</v>
      </c>
      <c r="C366">
        <v>35</v>
      </c>
      <c r="D366" t="s">
        <v>12</v>
      </c>
      <c r="E366" t="s">
        <v>39</v>
      </c>
      <c r="F366" t="s">
        <v>27</v>
      </c>
      <c r="G366" s="5">
        <v>45932</v>
      </c>
      <c r="H366" t="str">
        <f t="shared" si="10"/>
        <v>October</v>
      </c>
      <c r="I366" s="5">
        <v>45947</v>
      </c>
      <c r="J366" s="7">
        <f t="shared" si="11"/>
        <v>15</v>
      </c>
      <c r="K366" s="6">
        <v>125055</v>
      </c>
    </row>
    <row r="367" spans="1:11" x14ac:dyDescent="0.3">
      <c r="A367" t="s">
        <v>531</v>
      </c>
      <c r="B367" t="s">
        <v>397</v>
      </c>
      <c r="C367">
        <v>36</v>
      </c>
      <c r="D367" t="s">
        <v>17</v>
      </c>
      <c r="E367" t="s">
        <v>26</v>
      </c>
      <c r="F367" t="s">
        <v>59</v>
      </c>
      <c r="G367" s="5">
        <v>45794</v>
      </c>
      <c r="H367" t="str">
        <f t="shared" si="10"/>
        <v>May</v>
      </c>
      <c r="I367" s="5">
        <v>45801</v>
      </c>
      <c r="J367" s="7">
        <f t="shared" si="11"/>
        <v>7</v>
      </c>
      <c r="K367" s="6">
        <v>71743</v>
      </c>
    </row>
    <row r="368" spans="1:11" x14ac:dyDescent="0.3">
      <c r="A368" t="s">
        <v>532</v>
      </c>
      <c r="B368" t="s">
        <v>471</v>
      </c>
      <c r="C368">
        <v>85</v>
      </c>
      <c r="D368" t="s">
        <v>17</v>
      </c>
      <c r="E368" t="s">
        <v>26</v>
      </c>
      <c r="F368" t="s">
        <v>34</v>
      </c>
      <c r="G368" s="5">
        <v>45758</v>
      </c>
      <c r="H368" t="str">
        <f t="shared" si="10"/>
        <v>April</v>
      </c>
      <c r="I368" s="5">
        <v>45764</v>
      </c>
      <c r="J368" s="7">
        <f t="shared" si="11"/>
        <v>6</v>
      </c>
      <c r="K368" s="6">
        <v>24072</v>
      </c>
    </row>
    <row r="369" spans="1:11" x14ac:dyDescent="0.3">
      <c r="A369" t="s">
        <v>533</v>
      </c>
      <c r="B369" t="s">
        <v>142</v>
      </c>
      <c r="C369">
        <v>4</v>
      </c>
      <c r="D369" t="s">
        <v>17</v>
      </c>
      <c r="E369" t="s">
        <v>30</v>
      </c>
      <c r="F369" t="s">
        <v>23</v>
      </c>
      <c r="G369" s="5">
        <v>45677</v>
      </c>
      <c r="H369" t="str">
        <f t="shared" si="10"/>
        <v>January</v>
      </c>
      <c r="I369" s="5">
        <v>45688</v>
      </c>
      <c r="J369" s="7">
        <f t="shared" si="11"/>
        <v>11</v>
      </c>
      <c r="K369" s="6">
        <v>117744</v>
      </c>
    </row>
    <row r="370" spans="1:11" x14ac:dyDescent="0.3">
      <c r="A370" t="s">
        <v>534</v>
      </c>
      <c r="B370" t="s">
        <v>381</v>
      </c>
      <c r="C370">
        <v>19</v>
      </c>
      <c r="D370" t="s">
        <v>17</v>
      </c>
      <c r="E370" t="s">
        <v>18</v>
      </c>
      <c r="F370" t="s">
        <v>27</v>
      </c>
      <c r="G370" s="5">
        <v>45731</v>
      </c>
      <c r="H370" t="str">
        <f t="shared" si="10"/>
        <v>March</v>
      </c>
      <c r="I370" s="5">
        <v>45737</v>
      </c>
      <c r="J370" s="7">
        <f t="shared" si="11"/>
        <v>6</v>
      </c>
      <c r="K370" s="6">
        <v>54462</v>
      </c>
    </row>
    <row r="371" spans="1:11" x14ac:dyDescent="0.3">
      <c r="A371" t="s">
        <v>535</v>
      </c>
      <c r="B371" t="s">
        <v>245</v>
      </c>
      <c r="C371">
        <v>42</v>
      </c>
      <c r="D371" t="s">
        <v>12</v>
      </c>
      <c r="E371" t="s">
        <v>45</v>
      </c>
      <c r="F371" t="s">
        <v>14</v>
      </c>
      <c r="G371" s="5">
        <v>45661</v>
      </c>
      <c r="H371" t="str">
        <f t="shared" si="10"/>
        <v>January</v>
      </c>
      <c r="I371" s="5">
        <v>45673</v>
      </c>
      <c r="J371" s="7">
        <f t="shared" si="11"/>
        <v>12</v>
      </c>
      <c r="K371" s="6">
        <v>101376</v>
      </c>
    </row>
    <row r="372" spans="1:11" x14ac:dyDescent="0.3">
      <c r="A372" t="s">
        <v>536</v>
      </c>
      <c r="B372" t="s">
        <v>308</v>
      </c>
      <c r="C372">
        <v>6</v>
      </c>
      <c r="D372" t="s">
        <v>12</v>
      </c>
      <c r="E372" t="s">
        <v>22</v>
      </c>
      <c r="F372" t="s">
        <v>14</v>
      </c>
      <c r="G372" s="5">
        <v>45934</v>
      </c>
      <c r="H372" t="str">
        <f t="shared" si="10"/>
        <v>October</v>
      </c>
      <c r="I372" s="5">
        <v>45945</v>
      </c>
      <c r="J372" s="7">
        <f t="shared" si="11"/>
        <v>11</v>
      </c>
      <c r="K372" s="6">
        <v>45386</v>
      </c>
    </row>
    <row r="373" spans="1:11" x14ac:dyDescent="0.3">
      <c r="A373" t="s">
        <v>537</v>
      </c>
      <c r="B373" t="s">
        <v>467</v>
      </c>
      <c r="C373">
        <v>65</v>
      </c>
      <c r="D373" t="s">
        <v>17</v>
      </c>
      <c r="E373" t="s">
        <v>18</v>
      </c>
      <c r="F373" t="s">
        <v>19</v>
      </c>
      <c r="G373" s="5">
        <v>45695</v>
      </c>
      <c r="H373" t="str">
        <f t="shared" si="10"/>
        <v>February</v>
      </c>
      <c r="I373" s="5">
        <v>45710</v>
      </c>
      <c r="J373" s="7">
        <f t="shared" si="11"/>
        <v>15</v>
      </c>
      <c r="K373" s="6">
        <v>110805</v>
      </c>
    </row>
    <row r="374" spans="1:11" x14ac:dyDescent="0.3">
      <c r="A374" t="s">
        <v>538</v>
      </c>
      <c r="B374" t="s">
        <v>361</v>
      </c>
      <c r="C374">
        <v>41</v>
      </c>
      <c r="D374" t="s">
        <v>12</v>
      </c>
      <c r="E374" t="s">
        <v>102</v>
      </c>
      <c r="F374" t="s">
        <v>42</v>
      </c>
      <c r="G374" s="5">
        <v>45715</v>
      </c>
      <c r="H374" t="str">
        <f t="shared" si="10"/>
        <v>February</v>
      </c>
      <c r="I374" s="5">
        <v>45728</v>
      </c>
      <c r="J374" s="7">
        <f t="shared" si="11"/>
        <v>13</v>
      </c>
      <c r="K374" s="6">
        <v>55874</v>
      </c>
    </row>
    <row r="375" spans="1:11" x14ac:dyDescent="0.3">
      <c r="A375" t="s">
        <v>539</v>
      </c>
      <c r="B375" t="s">
        <v>109</v>
      </c>
      <c r="C375">
        <v>81</v>
      </c>
      <c r="D375" t="s">
        <v>12</v>
      </c>
      <c r="E375" t="s">
        <v>45</v>
      </c>
      <c r="F375" t="s">
        <v>34</v>
      </c>
      <c r="G375" s="5">
        <v>45759</v>
      </c>
      <c r="H375" t="str">
        <f t="shared" si="10"/>
        <v>April</v>
      </c>
      <c r="I375" s="5">
        <v>45761</v>
      </c>
      <c r="J375" s="7">
        <f t="shared" si="11"/>
        <v>2</v>
      </c>
      <c r="K375" s="6">
        <v>13064</v>
      </c>
    </row>
    <row r="376" spans="1:11" x14ac:dyDescent="0.3">
      <c r="A376" t="s">
        <v>540</v>
      </c>
      <c r="B376" t="s">
        <v>32</v>
      </c>
      <c r="C376">
        <v>28</v>
      </c>
      <c r="D376" t="s">
        <v>12</v>
      </c>
      <c r="E376" t="s">
        <v>33</v>
      </c>
      <c r="F376" t="s">
        <v>23</v>
      </c>
      <c r="G376" s="5">
        <v>45945</v>
      </c>
      <c r="H376" t="str">
        <f t="shared" si="10"/>
        <v>October</v>
      </c>
      <c r="I376" s="5">
        <v>45949</v>
      </c>
      <c r="J376" s="7">
        <f t="shared" si="11"/>
        <v>4</v>
      </c>
      <c r="K376" s="6">
        <v>19768</v>
      </c>
    </row>
    <row r="377" spans="1:11" x14ac:dyDescent="0.3">
      <c r="A377" t="s">
        <v>541</v>
      </c>
      <c r="B377" t="s">
        <v>68</v>
      </c>
      <c r="C377">
        <v>39</v>
      </c>
      <c r="D377" t="s">
        <v>17</v>
      </c>
      <c r="E377" t="s">
        <v>33</v>
      </c>
      <c r="F377" t="s">
        <v>19</v>
      </c>
      <c r="G377" s="5">
        <v>45974</v>
      </c>
      <c r="H377" t="str">
        <f t="shared" si="10"/>
        <v>November</v>
      </c>
      <c r="I377" s="5">
        <v>45981</v>
      </c>
      <c r="J377" s="7">
        <f t="shared" si="11"/>
        <v>7</v>
      </c>
      <c r="K377" s="6">
        <v>50085</v>
      </c>
    </row>
    <row r="378" spans="1:11" x14ac:dyDescent="0.3">
      <c r="A378" t="s">
        <v>542</v>
      </c>
      <c r="B378" t="s">
        <v>116</v>
      </c>
      <c r="C378">
        <v>87</v>
      </c>
      <c r="D378" t="s">
        <v>12</v>
      </c>
      <c r="E378" t="s">
        <v>26</v>
      </c>
      <c r="F378" t="s">
        <v>34</v>
      </c>
      <c r="G378" s="5">
        <v>45861</v>
      </c>
      <c r="H378" t="str">
        <f t="shared" si="10"/>
        <v>July</v>
      </c>
      <c r="I378" s="5">
        <v>45876</v>
      </c>
      <c r="J378" s="7">
        <f t="shared" si="11"/>
        <v>15</v>
      </c>
      <c r="K378" s="6">
        <v>69150</v>
      </c>
    </row>
    <row r="379" spans="1:11" x14ac:dyDescent="0.3">
      <c r="A379" t="s">
        <v>543</v>
      </c>
      <c r="B379" t="s">
        <v>112</v>
      </c>
      <c r="C379">
        <v>28</v>
      </c>
      <c r="D379" t="s">
        <v>17</v>
      </c>
      <c r="E379" t="s">
        <v>18</v>
      </c>
      <c r="F379" t="s">
        <v>23</v>
      </c>
      <c r="G379" s="5">
        <v>45918</v>
      </c>
      <c r="H379" t="str">
        <f t="shared" si="10"/>
        <v>September</v>
      </c>
      <c r="I379" s="5">
        <v>45924</v>
      </c>
      <c r="J379" s="7">
        <f t="shared" si="11"/>
        <v>6</v>
      </c>
      <c r="K379" s="6">
        <v>36486</v>
      </c>
    </row>
    <row r="380" spans="1:11" x14ac:dyDescent="0.3">
      <c r="A380" t="s">
        <v>544</v>
      </c>
      <c r="B380" t="s">
        <v>44</v>
      </c>
      <c r="C380">
        <v>89</v>
      </c>
      <c r="D380" t="s">
        <v>12</v>
      </c>
      <c r="E380" t="s">
        <v>13</v>
      </c>
      <c r="F380" t="s">
        <v>59</v>
      </c>
      <c r="G380" s="5">
        <v>45859</v>
      </c>
      <c r="H380" t="str">
        <f t="shared" si="10"/>
        <v>July</v>
      </c>
      <c r="I380" s="5">
        <v>45866</v>
      </c>
      <c r="J380" s="7">
        <f t="shared" si="11"/>
        <v>7</v>
      </c>
      <c r="K380" s="6">
        <v>37793</v>
      </c>
    </row>
    <row r="381" spans="1:11" x14ac:dyDescent="0.3">
      <c r="A381" t="s">
        <v>545</v>
      </c>
      <c r="B381" t="s">
        <v>25</v>
      </c>
      <c r="C381">
        <v>7</v>
      </c>
      <c r="D381" t="s">
        <v>12</v>
      </c>
      <c r="E381" t="s">
        <v>102</v>
      </c>
      <c r="F381" t="s">
        <v>23</v>
      </c>
      <c r="G381" s="5">
        <v>45956</v>
      </c>
      <c r="H381" t="str">
        <f t="shared" si="10"/>
        <v>October</v>
      </c>
      <c r="I381" s="5">
        <v>45970</v>
      </c>
      <c r="J381" s="7">
        <f t="shared" si="11"/>
        <v>14</v>
      </c>
      <c r="K381" s="6">
        <v>97370</v>
      </c>
    </row>
    <row r="382" spans="1:11" x14ac:dyDescent="0.3">
      <c r="A382" t="s">
        <v>546</v>
      </c>
      <c r="B382" t="s">
        <v>191</v>
      </c>
      <c r="C382">
        <v>64</v>
      </c>
      <c r="D382" t="s">
        <v>12</v>
      </c>
      <c r="E382" t="s">
        <v>18</v>
      </c>
      <c r="F382" t="s">
        <v>23</v>
      </c>
      <c r="G382" s="5">
        <v>45719</v>
      </c>
      <c r="H382" t="str">
        <f t="shared" si="10"/>
        <v>March</v>
      </c>
      <c r="I382" s="5">
        <v>45727</v>
      </c>
      <c r="J382" s="7">
        <f t="shared" si="11"/>
        <v>8</v>
      </c>
      <c r="K382" s="6">
        <v>63712</v>
      </c>
    </row>
    <row r="383" spans="1:11" x14ac:dyDescent="0.3">
      <c r="A383" t="s">
        <v>547</v>
      </c>
      <c r="B383" t="s">
        <v>44</v>
      </c>
      <c r="C383">
        <v>20</v>
      </c>
      <c r="D383" t="s">
        <v>12</v>
      </c>
      <c r="E383" t="s">
        <v>33</v>
      </c>
      <c r="F383" t="s">
        <v>42</v>
      </c>
      <c r="G383" s="5">
        <v>45984</v>
      </c>
      <c r="H383" t="str">
        <f t="shared" si="10"/>
        <v>November</v>
      </c>
      <c r="I383" s="5">
        <v>45986</v>
      </c>
      <c r="J383" s="7">
        <f t="shared" si="11"/>
        <v>2</v>
      </c>
      <c r="K383" s="6">
        <v>14386</v>
      </c>
    </row>
    <row r="384" spans="1:11" x14ac:dyDescent="0.3">
      <c r="A384" t="s">
        <v>548</v>
      </c>
      <c r="B384" t="s">
        <v>334</v>
      </c>
      <c r="C384">
        <v>34</v>
      </c>
      <c r="D384" t="s">
        <v>12</v>
      </c>
      <c r="E384" t="s">
        <v>30</v>
      </c>
      <c r="F384" t="s">
        <v>23</v>
      </c>
      <c r="G384" s="5">
        <v>45870</v>
      </c>
      <c r="H384" t="str">
        <f t="shared" si="10"/>
        <v>August</v>
      </c>
      <c r="I384" s="5">
        <v>45871</v>
      </c>
      <c r="J384" s="7">
        <f t="shared" si="11"/>
        <v>1</v>
      </c>
      <c r="K384" s="6">
        <v>10815</v>
      </c>
    </row>
    <row r="385" spans="1:11" x14ac:dyDescent="0.3">
      <c r="A385" t="s">
        <v>549</v>
      </c>
      <c r="B385" t="s">
        <v>550</v>
      </c>
      <c r="C385">
        <v>50</v>
      </c>
      <c r="D385" t="s">
        <v>12</v>
      </c>
      <c r="E385" t="s">
        <v>39</v>
      </c>
      <c r="F385" t="s">
        <v>27</v>
      </c>
      <c r="G385" s="5">
        <v>45910</v>
      </c>
      <c r="H385" t="str">
        <f t="shared" si="10"/>
        <v>September</v>
      </c>
      <c r="I385" s="5">
        <v>45917</v>
      </c>
      <c r="J385" s="7">
        <f t="shared" si="11"/>
        <v>7</v>
      </c>
      <c r="K385" s="6">
        <v>72331</v>
      </c>
    </row>
    <row r="386" spans="1:11" x14ac:dyDescent="0.3">
      <c r="A386" t="s">
        <v>551</v>
      </c>
      <c r="B386" t="s">
        <v>207</v>
      </c>
      <c r="C386">
        <v>22</v>
      </c>
      <c r="D386" t="s">
        <v>12</v>
      </c>
      <c r="E386" t="s">
        <v>18</v>
      </c>
      <c r="F386" t="s">
        <v>27</v>
      </c>
      <c r="G386" s="5">
        <v>45849</v>
      </c>
      <c r="H386" t="str">
        <f t="shared" ref="H386:H449" si="12">TEXT(G386,"mmmm")</f>
        <v>July</v>
      </c>
      <c r="I386" s="5">
        <v>45858</v>
      </c>
      <c r="J386" s="7">
        <f t="shared" si="11"/>
        <v>9</v>
      </c>
      <c r="K386" s="6">
        <v>99918</v>
      </c>
    </row>
    <row r="387" spans="1:11" x14ac:dyDescent="0.3">
      <c r="A387" t="s">
        <v>552</v>
      </c>
      <c r="B387" t="s">
        <v>156</v>
      </c>
      <c r="C387">
        <v>19</v>
      </c>
      <c r="D387" t="s">
        <v>12</v>
      </c>
      <c r="E387" t="s">
        <v>22</v>
      </c>
      <c r="F387" t="s">
        <v>34</v>
      </c>
      <c r="G387" s="5">
        <v>45757</v>
      </c>
      <c r="H387" t="str">
        <f t="shared" si="12"/>
        <v>April</v>
      </c>
      <c r="I387" s="5">
        <v>45760</v>
      </c>
      <c r="J387" s="7">
        <f t="shared" ref="J387:J450" si="13">I387-G387</f>
        <v>3</v>
      </c>
      <c r="K387" s="6">
        <v>32208</v>
      </c>
    </row>
    <row r="388" spans="1:11" x14ac:dyDescent="0.3">
      <c r="A388" t="s">
        <v>553</v>
      </c>
      <c r="B388" t="s">
        <v>554</v>
      </c>
      <c r="C388">
        <v>43</v>
      </c>
      <c r="D388" t="s">
        <v>12</v>
      </c>
      <c r="E388" t="s">
        <v>33</v>
      </c>
      <c r="F388" t="s">
        <v>14</v>
      </c>
      <c r="G388" s="5">
        <v>45930</v>
      </c>
      <c r="H388" t="str">
        <f t="shared" si="12"/>
        <v>September</v>
      </c>
      <c r="I388" s="5">
        <v>45945</v>
      </c>
      <c r="J388" s="7">
        <f t="shared" si="13"/>
        <v>15</v>
      </c>
      <c r="K388" s="6">
        <v>114030</v>
      </c>
    </row>
    <row r="389" spans="1:11" x14ac:dyDescent="0.3">
      <c r="A389" t="s">
        <v>555</v>
      </c>
      <c r="B389" t="s">
        <v>151</v>
      </c>
      <c r="C389">
        <v>9</v>
      </c>
      <c r="D389" t="s">
        <v>12</v>
      </c>
      <c r="E389" t="s">
        <v>45</v>
      </c>
      <c r="F389" t="s">
        <v>14</v>
      </c>
      <c r="G389" s="5">
        <v>46010</v>
      </c>
      <c r="H389" t="str">
        <f t="shared" si="12"/>
        <v>December</v>
      </c>
      <c r="I389" s="5">
        <v>46016</v>
      </c>
      <c r="J389" s="7">
        <f t="shared" si="13"/>
        <v>6</v>
      </c>
      <c r="K389" s="6">
        <v>54048</v>
      </c>
    </row>
    <row r="390" spans="1:11" x14ac:dyDescent="0.3">
      <c r="A390" t="s">
        <v>556</v>
      </c>
      <c r="B390" t="s">
        <v>142</v>
      </c>
      <c r="C390">
        <v>60</v>
      </c>
      <c r="D390" t="s">
        <v>17</v>
      </c>
      <c r="E390" t="s">
        <v>22</v>
      </c>
      <c r="F390" t="s">
        <v>19</v>
      </c>
      <c r="G390" s="5">
        <v>45858</v>
      </c>
      <c r="H390" t="str">
        <f t="shared" si="12"/>
        <v>July</v>
      </c>
      <c r="I390" s="5">
        <v>45866</v>
      </c>
      <c r="J390" s="7">
        <f t="shared" si="13"/>
        <v>8</v>
      </c>
      <c r="K390" s="6">
        <v>55408</v>
      </c>
    </row>
    <row r="391" spans="1:11" x14ac:dyDescent="0.3">
      <c r="A391" t="s">
        <v>557</v>
      </c>
      <c r="B391" t="s">
        <v>259</v>
      </c>
      <c r="C391">
        <v>23</v>
      </c>
      <c r="D391" t="s">
        <v>12</v>
      </c>
      <c r="E391" t="s">
        <v>33</v>
      </c>
      <c r="F391" t="s">
        <v>62</v>
      </c>
      <c r="G391" s="5">
        <v>45829</v>
      </c>
      <c r="H391" t="str">
        <f t="shared" si="12"/>
        <v>June</v>
      </c>
      <c r="I391" s="5">
        <v>45841</v>
      </c>
      <c r="J391" s="7">
        <f t="shared" si="13"/>
        <v>12</v>
      </c>
      <c r="K391" s="6">
        <v>59028</v>
      </c>
    </row>
    <row r="392" spans="1:11" x14ac:dyDescent="0.3">
      <c r="A392" t="s">
        <v>558</v>
      </c>
      <c r="B392" t="s">
        <v>74</v>
      </c>
      <c r="C392">
        <v>73</v>
      </c>
      <c r="D392" t="s">
        <v>12</v>
      </c>
      <c r="E392" t="s">
        <v>48</v>
      </c>
      <c r="F392" t="s">
        <v>62</v>
      </c>
      <c r="G392" s="5">
        <v>45750</v>
      </c>
      <c r="H392" t="str">
        <f t="shared" si="12"/>
        <v>April</v>
      </c>
      <c r="I392" s="5">
        <v>45762</v>
      </c>
      <c r="J392" s="7">
        <f t="shared" si="13"/>
        <v>12</v>
      </c>
      <c r="K392" s="6">
        <v>103572</v>
      </c>
    </row>
    <row r="393" spans="1:11" x14ac:dyDescent="0.3">
      <c r="A393" t="s">
        <v>559</v>
      </c>
      <c r="B393" t="s">
        <v>96</v>
      </c>
      <c r="C393">
        <v>17</v>
      </c>
      <c r="D393" t="s">
        <v>12</v>
      </c>
      <c r="E393" t="s">
        <v>18</v>
      </c>
      <c r="F393" t="s">
        <v>62</v>
      </c>
      <c r="G393" s="5">
        <v>46004</v>
      </c>
      <c r="H393" t="str">
        <f t="shared" si="12"/>
        <v>December</v>
      </c>
      <c r="I393" s="5">
        <v>46019</v>
      </c>
      <c r="J393" s="7">
        <f t="shared" si="13"/>
        <v>15</v>
      </c>
      <c r="K393" s="6">
        <v>79050</v>
      </c>
    </row>
    <row r="394" spans="1:11" x14ac:dyDescent="0.3">
      <c r="A394" t="s">
        <v>560</v>
      </c>
      <c r="B394" t="s">
        <v>375</v>
      </c>
      <c r="C394">
        <v>78</v>
      </c>
      <c r="D394" t="s">
        <v>17</v>
      </c>
      <c r="E394" t="s">
        <v>45</v>
      </c>
      <c r="F394" t="s">
        <v>27</v>
      </c>
      <c r="G394" s="5">
        <v>45880</v>
      </c>
      <c r="H394" t="str">
        <f t="shared" si="12"/>
        <v>August</v>
      </c>
      <c r="I394" s="5">
        <v>45882</v>
      </c>
      <c r="J394" s="7">
        <f t="shared" si="13"/>
        <v>2</v>
      </c>
      <c r="K394" s="6">
        <v>12170</v>
      </c>
    </row>
    <row r="395" spans="1:11" x14ac:dyDescent="0.3">
      <c r="A395" t="s">
        <v>561</v>
      </c>
      <c r="B395" t="s">
        <v>29</v>
      </c>
      <c r="C395">
        <v>81</v>
      </c>
      <c r="D395" t="s">
        <v>12</v>
      </c>
      <c r="E395" t="s">
        <v>102</v>
      </c>
      <c r="F395" t="s">
        <v>19</v>
      </c>
      <c r="G395" s="5">
        <v>45800</v>
      </c>
      <c r="H395" t="str">
        <f t="shared" si="12"/>
        <v>May</v>
      </c>
      <c r="I395" s="5">
        <v>45809</v>
      </c>
      <c r="J395" s="7">
        <f t="shared" si="13"/>
        <v>9</v>
      </c>
      <c r="K395" s="6">
        <v>53595</v>
      </c>
    </row>
    <row r="396" spans="1:11" x14ac:dyDescent="0.3">
      <c r="A396" t="s">
        <v>562</v>
      </c>
      <c r="B396" t="s">
        <v>44</v>
      </c>
      <c r="C396">
        <v>74</v>
      </c>
      <c r="D396" t="s">
        <v>12</v>
      </c>
      <c r="E396" t="s">
        <v>26</v>
      </c>
      <c r="F396" t="s">
        <v>34</v>
      </c>
      <c r="G396" s="5">
        <v>45803</v>
      </c>
      <c r="H396" t="str">
        <f t="shared" si="12"/>
        <v>May</v>
      </c>
      <c r="I396" s="5">
        <v>45813</v>
      </c>
      <c r="J396" s="7">
        <f t="shared" si="13"/>
        <v>10</v>
      </c>
      <c r="K396" s="6">
        <v>50590</v>
      </c>
    </row>
    <row r="397" spans="1:11" x14ac:dyDescent="0.3">
      <c r="A397" t="s">
        <v>563</v>
      </c>
      <c r="B397" t="s">
        <v>137</v>
      </c>
      <c r="C397">
        <v>20</v>
      </c>
      <c r="D397" t="s">
        <v>12</v>
      </c>
      <c r="E397" t="s">
        <v>26</v>
      </c>
      <c r="F397" t="s">
        <v>42</v>
      </c>
      <c r="G397" s="5">
        <v>45918</v>
      </c>
      <c r="H397" t="str">
        <f t="shared" si="12"/>
        <v>September</v>
      </c>
      <c r="I397" s="5">
        <v>45919</v>
      </c>
      <c r="J397" s="7">
        <f t="shared" si="13"/>
        <v>1</v>
      </c>
      <c r="K397" s="6">
        <v>10569</v>
      </c>
    </row>
    <row r="398" spans="1:11" x14ac:dyDescent="0.3">
      <c r="A398" t="s">
        <v>564</v>
      </c>
      <c r="B398" t="s">
        <v>464</v>
      </c>
      <c r="C398">
        <v>67</v>
      </c>
      <c r="D398" t="s">
        <v>17</v>
      </c>
      <c r="E398" t="s">
        <v>22</v>
      </c>
      <c r="F398" t="s">
        <v>34</v>
      </c>
      <c r="G398" s="5">
        <v>45723</v>
      </c>
      <c r="H398" t="str">
        <f t="shared" si="12"/>
        <v>March</v>
      </c>
      <c r="I398" s="5">
        <v>45734</v>
      </c>
      <c r="J398" s="7">
        <f t="shared" si="13"/>
        <v>11</v>
      </c>
      <c r="K398" s="6">
        <v>71379</v>
      </c>
    </row>
    <row r="399" spans="1:11" x14ac:dyDescent="0.3">
      <c r="A399" t="s">
        <v>565</v>
      </c>
      <c r="B399" t="s">
        <v>303</v>
      </c>
      <c r="C399">
        <v>44</v>
      </c>
      <c r="D399" t="s">
        <v>12</v>
      </c>
      <c r="E399" t="s">
        <v>30</v>
      </c>
      <c r="F399" t="s">
        <v>23</v>
      </c>
      <c r="G399" s="5">
        <v>45775</v>
      </c>
      <c r="H399" t="str">
        <f t="shared" si="12"/>
        <v>April</v>
      </c>
      <c r="I399" s="5">
        <v>45790</v>
      </c>
      <c r="J399" s="7">
        <f t="shared" si="13"/>
        <v>15</v>
      </c>
      <c r="K399" s="6">
        <v>179370</v>
      </c>
    </row>
    <row r="400" spans="1:11" x14ac:dyDescent="0.3">
      <c r="A400" t="s">
        <v>566</v>
      </c>
      <c r="B400" t="s">
        <v>366</v>
      </c>
      <c r="C400">
        <v>54</v>
      </c>
      <c r="D400" t="s">
        <v>17</v>
      </c>
      <c r="E400" t="s">
        <v>30</v>
      </c>
      <c r="F400" t="s">
        <v>34</v>
      </c>
      <c r="G400" s="5">
        <v>45855</v>
      </c>
      <c r="H400" t="str">
        <f t="shared" si="12"/>
        <v>July</v>
      </c>
      <c r="I400" s="5">
        <v>45870</v>
      </c>
      <c r="J400" s="7">
        <f t="shared" si="13"/>
        <v>15</v>
      </c>
      <c r="K400" s="6">
        <v>143610</v>
      </c>
    </row>
    <row r="401" spans="1:11" x14ac:dyDescent="0.3">
      <c r="A401" t="s">
        <v>567</v>
      </c>
      <c r="B401" t="s">
        <v>156</v>
      </c>
      <c r="C401">
        <v>85</v>
      </c>
      <c r="D401" t="s">
        <v>12</v>
      </c>
      <c r="E401" t="s">
        <v>45</v>
      </c>
      <c r="F401" t="s">
        <v>19</v>
      </c>
      <c r="G401" s="5">
        <v>45824</v>
      </c>
      <c r="H401" t="str">
        <f t="shared" si="12"/>
        <v>June</v>
      </c>
      <c r="I401" s="5">
        <v>45839</v>
      </c>
      <c r="J401" s="7">
        <f t="shared" si="13"/>
        <v>15</v>
      </c>
      <c r="K401" s="6">
        <v>145845</v>
      </c>
    </row>
    <row r="402" spans="1:11" x14ac:dyDescent="0.3">
      <c r="A402" t="s">
        <v>568</v>
      </c>
      <c r="B402" t="s">
        <v>484</v>
      </c>
      <c r="C402">
        <v>37</v>
      </c>
      <c r="D402" t="s">
        <v>17</v>
      </c>
      <c r="E402" t="s">
        <v>102</v>
      </c>
      <c r="F402" t="s">
        <v>14</v>
      </c>
      <c r="G402" s="5">
        <v>45950</v>
      </c>
      <c r="H402" t="str">
        <f t="shared" si="12"/>
        <v>October</v>
      </c>
      <c r="I402" s="5">
        <v>45959</v>
      </c>
      <c r="J402" s="7">
        <f t="shared" si="13"/>
        <v>9</v>
      </c>
      <c r="K402" s="6">
        <v>72126</v>
      </c>
    </row>
    <row r="403" spans="1:11" x14ac:dyDescent="0.3">
      <c r="A403" t="s">
        <v>569</v>
      </c>
      <c r="B403" t="s">
        <v>411</v>
      </c>
      <c r="C403">
        <v>12</v>
      </c>
      <c r="D403" t="s">
        <v>17</v>
      </c>
      <c r="E403" t="s">
        <v>45</v>
      </c>
      <c r="F403" t="s">
        <v>62</v>
      </c>
      <c r="G403" s="5">
        <v>45964</v>
      </c>
      <c r="H403" t="str">
        <f t="shared" si="12"/>
        <v>November</v>
      </c>
      <c r="I403" s="5">
        <v>45966</v>
      </c>
      <c r="J403" s="7">
        <f t="shared" si="13"/>
        <v>2</v>
      </c>
      <c r="K403" s="6">
        <v>12256</v>
      </c>
    </row>
    <row r="404" spans="1:11" x14ac:dyDescent="0.3">
      <c r="A404" t="s">
        <v>570</v>
      </c>
      <c r="B404" t="s">
        <v>114</v>
      </c>
      <c r="C404">
        <v>88</v>
      </c>
      <c r="D404" t="s">
        <v>12</v>
      </c>
      <c r="E404" t="s">
        <v>48</v>
      </c>
      <c r="F404" t="s">
        <v>19</v>
      </c>
      <c r="G404" s="5">
        <v>45689</v>
      </c>
      <c r="H404" t="str">
        <f t="shared" si="12"/>
        <v>February</v>
      </c>
      <c r="I404" s="5">
        <v>45696</v>
      </c>
      <c r="J404" s="7">
        <f t="shared" si="13"/>
        <v>7</v>
      </c>
      <c r="K404" s="6">
        <v>61068</v>
      </c>
    </row>
    <row r="405" spans="1:11" x14ac:dyDescent="0.3">
      <c r="A405" t="s">
        <v>571</v>
      </c>
      <c r="B405" t="s">
        <v>303</v>
      </c>
      <c r="C405">
        <v>66</v>
      </c>
      <c r="D405" t="s">
        <v>12</v>
      </c>
      <c r="E405" t="s">
        <v>13</v>
      </c>
      <c r="F405" t="s">
        <v>14</v>
      </c>
      <c r="G405" s="5">
        <v>46009</v>
      </c>
      <c r="H405" t="str">
        <f t="shared" si="12"/>
        <v>December</v>
      </c>
      <c r="I405" s="5">
        <v>46019</v>
      </c>
      <c r="J405" s="7">
        <f t="shared" si="13"/>
        <v>10</v>
      </c>
      <c r="K405" s="6">
        <v>89460</v>
      </c>
    </row>
    <row r="406" spans="1:11" x14ac:dyDescent="0.3">
      <c r="A406" t="s">
        <v>572</v>
      </c>
      <c r="B406" t="s">
        <v>361</v>
      </c>
      <c r="C406">
        <v>23</v>
      </c>
      <c r="D406" t="s">
        <v>17</v>
      </c>
      <c r="E406" t="s">
        <v>102</v>
      </c>
      <c r="F406" t="s">
        <v>34</v>
      </c>
      <c r="G406" s="5">
        <v>45743</v>
      </c>
      <c r="H406" t="str">
        <f t="shared" si="12"/>
        <v>March</v>
      </c>
      <c r="I406" s="5">
        <v>45744</v>
      </c>
      <c r="J406" s="7">
        <f t="shared" si="13"/>
        <v>1</v>
      </c>
      <c r="K406" s="6">
        <v>5296</v>
      </c>
    </row>
    <row r="407" spans="1:11" x14ac:dyDescent="0.3">
      <c r="A407" t="s">
        <v>573</v>
      </c>
      <c r="B407" t="s">
        <v>118</v>
      </c>
      <c r="C407">
        <v>81</v>
      </c>
      <c r="D407" t="s">
        <v>12</v>
      </c>
      <c r="E407" t="s">
        <v>45</v>
      </c>
      <c r="F407" t="s">
        <v>23</v>
      </c>
      <c r="G407" s="5">
        <v>45869</v>
      </c>
      <c r="H407" t="str">
        <f t="shared" si="12"/>
        <v>July</v>
      </c>
      <c r="I407" s="5">
        <v>45881</v>
      </c>
      <c r="J407" s="7">
        <f t="shared" si="13"/>
        <v>12</v>
      </c>
      <c r="K407" s="6">
        <v>140400</v>
      </c>
    </row>
    <row r="408" spans="1:11" x14ac:dyDescent="0.3">
      <c r="A408" t="s">
        <v>574</v>
      </c>
      <c r="B408" t="s">
        <v>275</v>
      </c>
      <c r="C408">
        <v>62</v>
      </c>
      <c r="D408" t="s">
        <v>17</v>
      </c>
      <c r="E408" t="s">
        <v>48</v>
      </c>
      <c r="F408" t="s">
        <v>62</v>
      </c>
      <c r="G408" s="5">
        <v>45977</v>
      </c>
      <c r="H408" t="str">
        <f t="shared" si="12"/>
        <v>November</v>
      </c>
      <c r="I408" s="5">
        <v>45991</v>
      </c>
      <c r="J408" s="7">
        <f t="shared" si="13"/>
        <v>14</v>
      </c>
      <c r="K408" s="6">
        <v>119938</v>
      </c>
    </row>
    <row r="409" spans="1:11" x14ac:dyDescent="0.3">
      <c r="A409" t="s">
        <v>575</v>
      </c>
      <c r="B409" t="s">
        <v>199</v>
      </c>
      <c r="C409">
        <v>2</v>
      </c>
      <c r="D409" t="s">
        <v>17</v>
      </c>
      <c r="E409" t="s">
        <v>22</v>
      </c>
      <c r="F409" t="s">
        <v>62</v>
      </c>
      <c r="G409" s="5">
        <v>45936</v>
      </c>
      <c r="H409" t="str">
        <f t="shared" si="12"/>
        <v>October</v>
      </c>
      <c r="I409" s="5">
        <v>45947</v>
      </c>
      <c r="J409" s="7">
        <f t="shared" si="13"/>
        <v>11</v>
      </c>
      <c r="K409" s="6">
        <v>70576</v>
      </c>
    </row>
    <row r="410" spans="1:11" x14ac:dyDescent="0.3">
      <c r="A410" t="s">
        <v>576</v>
      </c>
      <c r="B410" t="s">
        <v>89</v>
      </c>
      <c r="C410">
        <v>20</v>
      </c>
      <c r="D410" t="s">
        <v>12</v>
      </c>
      <c r="E410" t="s">
        <v>22</v>
      </c>
      <c r="F410" t="s">
        <v>27</v>
      </c>
      <c r="G410" s="5">
        <v>45714</v>
      </c>
      <c r="H410" t="str">
        <f t="shared" si="12"/>
        <v>February</v>
      </c>
      <c r="I410" s="5">
        <v>45717</v>
      </c>
      <c r="J410" s="7">
        <f t="shared" si="13"/>
        <v>3</v>
      </c>
      <c r="K410" s="6">
        <v>30087</v>
      </c>
    </row>
    <row r="411" spans="1:11" x14ac:dyDescent="0.3">
      <c r="A411" t="s">
        <v>577</v>
      </c>
      <c r="B411" t="s">
        <v>341</v>
      </c>
      <c r="C411">
        <v>1</v>
      </c>
      <c r="D411" t="s">
        <v>17</v>
      </c>
      <c r="E411" t="s">
        <v>18</v>
      </c>
      <c r="F411" t="s">
        <v>19</v>
      </c>
      <c r="G411" s="5">
        <v>45675</v>
      </c>
      <c r="H411" t="str">
        <f t="shared" si="12"/>
        <v>January</v>
      </c>
      <c r="I411" s="5">
        <v>45687</v>
      </c>
      <c r="J411" s="7">
        <f t="shared" si="13"/>
        <v>12</v>
      </c>
      <c r="K411" s="6">
        <v>138720</v>
      </c>
    </row>
    <row r="412" spans="1:11" x14ac:dyDescent="0.3">
      <c r="A412" t="s">
        <v>578</v>
      </c>
      <c r="B412" t="s">
        <v>579</v>
      </c>
      <c r="C412">
        <v>20</v>
      </c>
      <c r="D412" t="s">
        <v>17</v>
      </c>
      <c r="E412" t="s">
        <v>26</v>
      </c>
      <c r="F412" t="s">
        <v>19</v>
      </c>
      <c r="G412" s="5">
        <v>45878</v>
      </c>
      <c r="H412" t="str">
        <f t="shared" si="12"/>
        <v>August</v>
      </c>
      <c r="I412" s="5">
        <v>45893</v>
      </c>
      <c r="J412" s="7">
        <f t="shared" si="13"/>
        <v>15</v>
      </c>
      <c r="K412" s="6">
        <v>80655</v>
      </c>
    </row>
    <row r="413" spans="1:11" x14ac:dyDescent="0.3">
      <c r="A413" t="s">
        <v>580</v>
      </c>
      <c r="B413" t="s">
        <v>264</v>
      </c>
      <c r="C413">
        <v>54</v>
      </c>
      <c r="D413" t="s">
        <v>17</v>
      </c>
      <c r="E413" t="s">
        <v>39</v>
      </c>
      <c r="F413" t="s">
        <v>27</v>
      </c>
      <c r="G413" s="5">
        <v>45837</v>
      </c>
      <c r="H413" t="str">
        <f t="shared" si="12"/>
        <v>June</v>
      </c>
      <c r="I413" s="5">
        <v>45849</v>
      </c>
      <c r="J413" s="7">
        <f t="shared" si="13"/>
        <v>12</v>
      </c>
      <c r="K413" s="6">
        <v>104232</v>
      </c>
    </row>
    <row r="414" spans="1:11" x14ac:dyDescent="0.3">
      <c r="A414" t="s">
        <v>581</v>
      </c>
      <c r="B414" t="s">
        <v>187</v>
      </c>
      <c r="C414">
        <v>12</v>
      </c>
      <c r="D414" t="s">
        <v>12</v>
      </c>
      <c r="E414" t="s">
        <v>26</v>
      </c>
      <c r="F414" t="s">
        <v>14</v>
      </c>
      <c r="G414" s="5">
        <v>45752</v>
      </c>
      <c r="H414" t="str">
        <f t="shared" si="12"/>
        <v>April</v>
      </c>
      <c r="I414" s="5">
        <v>45762</v>
      </c>
      <c r="J414" s="7">
        <f t="shared" si="13"/>
        <v>10</v>
      </c>
      <c r="K414" s="6">
        <v>97370</v>
      </c>
    </row>
    <row r="415" spans="1:11" x14ac:dyDescent="0.3">
      <c r="A415" t="s">
        <v>582</v>
      </c>
      <c r="B415" t="s">
        <v>21</v>
      </c>
      <c r="C415">
        <v>88</v>
      </c>
      <c r="D415" t="s">
        <v>12</v>
      </c>
      <c r="E415" t="s">
        <v>39</v>
      </c>
      <c r="F415" t="s">
        <v>14</v>
      </c>
      <c r="G415" s="5">
        <v>45661</v>
      </c>
      <c r="H415" t="str">
        <f t="shared" si="12"/>
        <v>January</v>
      </c>
      <c r="I415" s="5">
        <v>45667</v>
      </c>
      <c r="J415" s="7">
        <f t="shared" si="13"/>
        <v>6</v>
      </c>
      <c r="K415" s="6">
        <v>26760</v>
      </c>
    </row>
    <row r="416" spans="1:11" x14ac:dyDescent="0.3">
      <c r="A416" t="s">
        <v>583</v>
      </c>
      <c r="B416" t="s">
        <v>431</v>
      </c>
      <c r="C416">
        <v>70</v>
      </c>
      <c r="D416" t="s">
        <v>12</v>
      </c>
      <c r="E416" t="s">
        <v>48</v>
      </c>
      <c r="F416" t="s">
        <v>42</v>
      </c>
      <c r="G416" s="5">
        <v>45848</v>
      </c>
      <c r="H416" t="str">
        <f t="shared" si="12"/>
        <v>July</v>
      </c>
      <c r="I416" s="5">
        <v>45863</v>
      </c>
      <c r="J416" s="7">
        <f t="shared" si="13"/>
        <v>15</v>
      </c>
      <c r="K416" s="6">
        <v>100305</v>
      </c>
    </row>
    <row r="417" spans="1:11" x14ac:dyDescent="0.3">
      <c r="A417" t="s">
        <v>584</v>
      </c>
      <c r="B417" t="s">
        <v>343</v>
      </c>
      <c r="C417">
        <v>56</v>
      </c>
      <c r="D417" t="s">
        <v>17</v>
      </c>
      <c r="E417" t="s">
        <v>26</v>
      </c>
      <c r="F417" t="s">
        <v>62</v>
      </c>
      <c r="G417" s="5">
        <v>45787</v>
      </c>
      <c r="H417" t="str">
        <f t="shared" si="12"/>
        <v>May</v>
      </c>
      <c r="I417" s="5">
        <v>45790</v>
      </c>
      <c r="J417" s="7">
        <f t="shared" si="13"/>
        <v>3</v>
      </c>
      <c r="K417" s="6">
        <v>12888</v>
      </c>
    </row>
    <row r="418" spans="1:11" x14ac:dyDescent="0.3">
      <c r="A418" t="s">
        <v>585</v>
      </c>
      <c r="B418" t="s">
        <v>86</v>
      </c>
      <c r="C418">
        <v>26</v>
      </c>
      <c r="D418" t="s">
        <v>17</v>
      </c>
      <c r="E418" t="s">
        <v>48</v>
      </c>
      <c r="F418" t="s">
        <v>19</v>
      </c>
      <c r="G418" s="5">
        <v>45759</v>
      </c>
      <c r="H418" t="str">
        <f t="shared" si="12"/>
        <v>April</v>
      </c>
      <c r="I418" s="5">
        <v>45768</v>
      </c>
      <c r="J418" s="7">
        <f t="shared" si="13"/>
        <v>9</v>
      </c>
      <c r="K418" s="6">
        <v>84852</v>
      </c>
    </row>
    <row r="419" spans="1:11" x14ac:dyDescent="0.3">
      <c r="A419" t="s">
        <v>586</v>
      </c>
      <c r="B419" t="s">
        <v>481</v>
      </c>
      <c r="C419">
        <v>90</v>
      </c>
      <c r="D419" t="s">
        <v>12</v>
      </c>
      <c r="E419" t="s">
        <v>26</v>
      </c>
      <c r="F419" t="s">
        <v>14</v>
      </c>
      <c r="G419" s="5">
        <v>45720</v>
      </c>
      <c r="H419" t="str">
        <f t="shared" si="12"/>
        <v>March</v>
      </c>
      <c r="I419" s="5">
        <v>45734</v>
      </c>
      <c r="J419" s="7">
        <f t="shared" si="13"/>
        <v>14</v>
      </c>
      <c r="K419" s="6">
        <v>115528</v>
      </c>
    </row>
    <row r="420" spans="1:11" x14ac:dyDescent="0.3">
      <c r="A420" t="s">
        <v>587</v>
      </c>
      <c r="B420" t="s">
        <v>178</v>
      </c>
      <c r="C420">
        <v>16</v>
      </c>
      <c r="D420" t="s">
        <v>12</v>
      </c>
      <c r="E420" t="s">
        <v>22</v>
      </c>
      <c r="F420" t="s">
        <v>23</v>
      </c>
      <c r="G420" s="5">
        <v>46013</v>
      </c>
      <c r="H420" t="str">
        <f t="shared" si="12"/>
        <v>December</v>
      </c>
      <c r="I420" s="5">
        <v>46020</v>
      </c>
      <c r="J420" s="7">
        <f t="shared" si="13"/>
        <v>7</v>
      </c>
      <c r="K420" s="6">
        <v>48412</v>
      </c>
    </row>
    <row r="421" spans="1:11" x14ac:dyDescent="0.3">
      <c r="A421" t="s">
        <v>588</v>
      </c>
      <c r="B421" t="s">
        <v>86</v>
      </c>
      <c r="C421">
        <v>15</v>
      </c>
      <c r="D421" t="s">
        <v>17</v>
      </c>
      <c r="E421" t="s">
        <v>48</v>
      </c>
      <c r="F421" t="s">
        <v>14</v>
      </c>
      <c r="G421" s="5">
        <v>45800</v>
      </c>
      <c r="H421" t="str">
        <f t="shared" si="12"/>
        <v>May</v>
      </c>
      <c r="I421" s="5">
        <v>45813</v>
      </c>
      <c r="J421" s="7">
        <f t="shared" si="13"/>
        <v>13</v>
      </c>
      <c r="K421" s="6">
        <v>118898</v>
      </c>
    </row>
    <row r="422" spans="1:11" x14ac:dyDescent="0.3">
      <c r="A422" t="s">
        <v>589</v>
      </c>
      <c r="B422" t="s">
        <v>343</v>
      </c>
      <c r="C422">
        <v>42</v>
      </c>
      <c r="D422" t="s">
        <v>17</v>
      </c>
      <c r="E422" t="s">
        <v>13</v>
      </c>
      <c r="F422" t="s">
        <v>19</v>
      </c>
      <c r="G422" s="5">
        <v>45783</v>
      </c>
      <c r="H422" t="str">
        <f t="shared" si="12"/>
        <v>May</v>
      </c>
      <c r="I422" s="5">
        <v>45795</v>
      </c>
      <c r="J422" s="7">
        <f t="shared" si="13"/>
        <v>12</v>
      </c>
      <c r="K422" s="6">
        <v>130812</v>
      </c>
    </row>
    <row r="423" spans="1:11" x14ac:dyDescent="0.3">
      <c r="A423" t="s">
        <v>590</v>
      </c>
      <c r="B423" t="s">
        <v>330</v>
      </c>
      <c r="C423">
        <v>57</v>
      </c>
      <c r="D423" t="s">
        <v>12</v>
      </c>
      <c r="E423" t="s">
        <v>45</v>
      </c>
      <c r="F423" t="s">
        <v>34</v>
      </c>
      <c r="G423" s="5">
        <v>45810</v>
      </c>
      <c r="H423" t="str">
        <f t="shared" si="12"/>
        <v>June</v>
      </c>
      <c r="I423" s="5">
        <v>45819</v>
      </c>
      <c r="J423" s="7">
        <f t="shared" si="13"/>
        <v>9</v>
      </c>
      <c r="K423" s="6">
        <v>47574</v>
      </c>
    </row>
    <row r="424" spans="1:11" x14ac:dyDescent="0.3">
      <c r="A424" t="s">
        <v>591</v>
      </c>
      <c r="B424" t="s">
        <v>109</v>
      </c>
      <c r="C424">
        <v>27</v>
      </c>
      <c r="D424" t="s">
        <v>12</v>
      </c>
      <c r="E424" t="s">
        <v>26</v>
      </c>
      <c r="F424" t="s">
        <v>59</v>
      </c>
      <c r="G424" s="5">
        <v>45861</v>
      </c>
      <c r="H424" t="str">
        <f t="shared" si="12"/>
        <v>July</v>
      </c>
      <c r="I424" s="5">
        <v>45871</v>
      </c>
      <c r="J424" s="7">
        <f t="shared" si="13"/>
        <v>10</v>
      </c>
      <c r="K424" s="6">
        <v>120000</v>
      </c>
    </row>
    <row r="425" spans="1:11" x14ac:dyDescent="0.3">
      <c r="A425" t="s">
        <v>592</v>
      </c>
      <c r="B425" t="s">
        <v>116</v>
      </c>
      <c r="C425">
        <v>47</v>
      </c>
      <c r="D425" t="s">
        <v>17</v>
      </c>
      <c r="E425" t="s">
        <v>39</v>
      </c>
      <c r="F425" t="s">
        <v>23</v>
      </c>
      <c r="G425" s="5">
        <v>45992</v>
      </c>
      <c r="H425" t="str">
        <f t="shared" si="12"/>
        <v>December</v>
      </c>
      <c r="I425" s="5">
        <v>46004</v>
      </c>
      <c r="J425" s="7">
        <f t="shared" si="13"/>
        <v>12</v>
      </c>
      <c r="K425" s="6">
        <v>138084</v>
      </c>
    </row>
    <row r="426" spans="1:11" x14ac:dyDescent="0.3">
      <c r="A426" t="s">
        <v>593</v>
      </c>
      <c r="B426" t="s">
        <v>100</v>
      </c>
      <c r="C426">
        <v>50</v>
      </c>
      <c r="D426" t="s">
        <v>17</v>
      </c>
      <c r="E426" t="s">
        <v>22</v>
      </c>
      <c r="F426" t="s">
        <v>23</v>
      </c>
      <c r="G426" s="5">
        <v>45732</v>
      </c>
      <c r="H426" t="str">
        <f t="shared" si="12"/>
        <v>March</v>
      </c>
      <c r="I426" s="5">
        <v>45736</v>
      </c>
      <c r="J426" s="7">
        <f t="shared" si="13"/>
        <v>4</v>
      </c>
      <c r="K426" s="6">
        <v>22636</v>
      </c>
    </row>
    <row r="427" spans="1:11" x14ac:dyDescent="0.3">
      <c r="A427" t="s">
        <v>594</v>
      </c>
      <c r="B427" t="s">
        <v>127</v>
      </c>
      <c r="C427">
        <v>36</v>
      </c>
      <c r="D427" t="s">
        <v>17</v>
      </c>
      <c r="E427" t="s">
        <v>22</v>
      </c>
      <c r="F427" t="s">
        <v>14</v>
      </c>
      <c r="G427" s="5">
        <v>45841</v>
      </c>
      <c r="H427" t="str">
        <f t="shared" si="12"/>
        <v>July</v>
      </c>
      <c r="I427" s="5">
        <v>45849</v>
      </c>
      <c r="J427" s="7">
        <f t="shared" si="13"/>
        <v>8</v>
      </c>
      <c r="K427" s="6">
        <v>57104</v>
      </c>
    </row>
    <row r="428" spans="1:11" x14ac:dyDescent="0.3">
      <c r="A428" t="s">
        <v>595</v>
      </c>
      <c r="B428" t="s">
        <v>283</v>
      </c>
      <c r="C428">
        <v>13</v>
      </c>
      <c r="D428" t="s">
        <v>17</v>
      </c>
      <c r="E428" t="s">
        <v>48</v>
      </c>
      <c r="F428" t="s">
        <v>27</v>
      </c>
      <c r="G428" s="5">
        <v>45679</v>
      </c>
      <c r="H428" t="str">
        <f t="shared" si="12"/>
        <v>January</v>
      </c>
      <c r="I428" s="5">
        <v>45691</v>
      </c>
      <c r="J428" s="7">
        <f t="shared" si="13"/>
        <v>12</v>
      </c>
      <c r="K428" s="6">
        <v>128808</v>
      </c>
    </row>
    <row r="429" spans="1:11" x14ac:dyDescent="0.3">
      <c r="A429" t="s">
        <v>596</v>
      </c>
      <c r="B429" t="s">
        <v>461</v>
      </c>
      <c r="C429">
        <v>58</v>
      </c>
      <c r="D429" t="s">
        <v>17</v>
      </c>
      <c r="E429" t="s">
        <v>26</v>
      </c>
      <c r="F429" t="s">
        <v>34</v>
      </c>
      <c r="G429" s="5">
        <v>45720</v>
      </c>
      <c r="H429" t="str">
        <f t="shared" si="12"/>
        <v>March</v>
      </c>
      <c r="I429" s="5">
        <v>45728</v>
      </c>
      <c r="J429" s="7">
        <f t="shared" si="13"/>
        <v>8</v>
      </c>
      <c r="K429" s="6">
        <v>70840</v>
      </c>
    </row>
    <row r="430" spans="1:11" x14ac:dyDescent="0.3">
      <c r="A430" t="s">
        <v>597</v>
      </c>
      <c r="B430" t="s">
        <v>72</v>
      </c>
      <c r="C430">
        <v>76</v>
      </c>
      <c r="D430" t="s">
        <v>12</v>
      </c>
      <c r="E430" t="s">
        <v>102</v>
      </c>
      <c r="F430" t="s">
        <v>27</v>
      </c>
      <c r="G430" s="5">
        <v>45673</v>
      </c>
      <c r="H430" t="str">
        <f t="shared" si="12"/>
        <v>January</v>
      </c>
      <c r="I430" s="5">
        <v>45678</v>
      </c>
      <c r="J430" s="7">
        <f t="shared" si="13"/>
        <v>5</v>
      </c>
      <c r="K430" s="6">
        <v>50985</v>
      </c>
    </row>
    <row r="431" spans="1:11" x14ac:dyDescent="0.3">
      <c r="A431" t="s">
        <v>598</v>
      </c>
      <c r="B431" t="s">
        <v>130</v>
      </c>
      <c r="C431">
        <v>33</v>
      </c>
      <c r="D431" t="s">
        <v>12</v>
      </c>
      <c r="E431" t="s">
        <v>39</v>
      </c>
      <c r="F431" t="s">
        <v>23</v>
      </c>
      <c r="G431" s="5">
        <v>45969</v>
      </c>
      <c r="H431" t="str">
        <f t="shared" si="12"/>
        <v>November</v>
      </c>
      <c r="I431" s="5">
        <v>45971</v>
      </c>
      <c r="J431" s="7">
        <f t="shared" si="13"/>
        <v>2</v>
      </c>
      <c r="K431" s="6">
        <v>10104</v>
      </c>
    </row>
    <row r="432" spans="1:11" x14ac:dyDescent="0.3">
      <c r="A432" t="s">
        <v>599</v>
      </c>
      <c r="B432" t="s">
        <v>168</v>
      </c>
      <c r="C432">
        <v>70</v>
      </c>
      <c r="D432" t="s">
        <v>17</v>
      </c>
      <c r="E432" t="s">
        <v>102</v>
      </c>
      <c r="F432" t="s">
        <v>42</v>
      </c>
      <c r="G432" s="5">
        <v>45879</v>
      </c>
      <c r="H432" t="str">
        <f t="shared" si="12"/>
        <v>August</v>
      </c>
      <c r="I432" s="5">
        <v>45883</v>
      </c>
      <c r="J432" s="7">
        <f t="shared" si="13"/>
        <v>4</v>
      </c>
      <c r="K432" s="6">
        <v>40804</v>
      </c>
    </row>
    <row r="433" spans="1:11" x14ac:dyDescent="0.3">
      <c r="A433" t="s">
        <v>600</v>
      </c>
      <c r="B433" t="s">
        <v>241</v>
      </c>
      <c r="C433">
        <v>69</v>
      </c>
      <c r="D433" t="s">
        <v>17</v>
      </c>
      <c r="E433" t="s">
        <v>33</v>
      </c>
      <c r="F433" t="s">
        <v>14</v>
      </c>
      <c r="G433" s="5">
        <v>46017</v>
      </c>
      <c r="H433" t="str">
        <f t="shared" si="12"/>
        <v>December</v>
      </c>
      <c r="I433" s="5">
        <v>46023</v>
      </c>
      <c r="J433" s="7">
        <f t="shared" si="13"/>
        <v>6</v>
      </c>
      <c r="K433" s="6">
        <v>56766</v>
      </c>
    </row>
    <row r="434" spans="1:11" x14ac:dyDescent="0.3">
      <c r="A434" t="s">
        <v>601</v>
      </c>
      <c r="B434" t="s">
        <v>602</v>
      </c>
      <c r="C434">
        <v>67</v>
      </c>
      <c r="D434" t="s">
        <v>17</v>
      </c>
      <c r="E434" t="s">
        <v>33</v>
      </c>
      <c r="F434" t="s">
        <v>27</v>
      </c>
      <c r="G434" s="5">
        <v>45790</v>
      </c>
      <c r="H434" t="str">
        <f t="shared" si="12"/>
        <v>May</v>
      </c>
      <c r="I434" s="5">
        <v>45793</v>
      </c>
      <c r="J434" s="7">
        <f t="shared" si="13"/>
        <v>3</v>
      </c>
      <c r="K434" s="6">
        <v>26751</v>
      </c>
    </row>
    <row r="435" spans="1:11" x14ac:dyDescent="0.3">
      <c r="A435" t="s">
        <v>603</v>
      </c>
      <c r="B435" t="s">
        <v>390</v>
      </c>
      <c r="C435">
        <v>88</v>
      </c>
      <c r="D435" t="s">
        <v>12</v>
      </c>
      <c r="E435" t="s">
        <v>45</v>
      </c>
      <c r="F435" t="s">
        <v>19</v>
      </c>
      <c r="G435" s="5">
        <v>46019</v>
      </c>
      <c r="H435" t="str">
        <f t="shared" si="12"/>
        <v>December</v>
      </c>
      <c r="I435" s="5">
        <v>46029</v>
      </c>
      <c r="J435" s="7">
        <f t="shared" si="13"/>
        <v>10</v>
      </c>
      <c r="K435" s="6">
        <v>53830</v>
      </c>
    </row>
    <row r="436" spans="1:11" x14ac:dyDescent="0.3">
      <c r="A436" t="s">
        <v>604</v>
      </c>
      <c r="B436" t="s">
        <v>189</v>
      </c>
      <c r="C436">
        <v>47</v>
      </c>
      <c r="D436" t="s">
        <v>12</v>
      </c>
      <c r="E436" t="s">
        <v>39</v>
      </c>
      <c r="F436" t="s">
        <v>19</v>
      </c>
      <c r="G436" s="5">
        <v>45769</v>
      </c>
      <c r="H436" t="str">
        <f t="shared" si="12"/>
        <v>April</v>
      </c>
      <c r="I436" s="5">
        <v>45776</v>
      </c>
      <c r="J436" s="7">
        <f t="shared" si="13"/>
        <v>7</v>
      </c>
      <c r="K436" s="6">
        <v>32613</v>
      </c>
    </row>
    <row r="437" spans="1:11" x14ac:dyDescent="0.3">
      <c r="A437" t="s">
        <v>605</v>
      </c>
      <c r="B437" t="s">
        <v>455</v>
      </c>
      <c r="C437">
        <v>48</v>
      </c>
      <c r="D437" t="s">
        <v>17</v>
      </c>
      <c r="E437" t="s">
        <v>18</v>
      </c>
      <c r="F437" t="s">
        <v>59</v>
      </c>
      <c r="G437" s="5">
        <v>45965</v>
      </c>
      <c r="H437" t="str">
        <f t="shared" si="12"/>
        <v>November</v>
      </c>
      <c r="I437" s="5">
        <v>45971</v>
      </c>
      <c r="J437" s="7">
        <f t="shared" si="13"/>
        <v>6</v>
      </c>
      <c r="K437" s="6">
        <v>53052</v>
      </c>
    </row>
    <row r="438" spans="1:11" x14ac:dyDescent="0.3">
      <c r="A438" t="s">
        <v>606</v>
      </c>
      <c r="B438" t="s">
        <v>426</v>
      </c>
      <c r="C438">
        <v>89</v>
      </c>
      <c r="D438" t="s">
        <v>17</v>
      </c>
      <c r="E438" t="s">
        <v>26</v>
      </c>
      <c r="F438" t="s">
        <v>19</v>
      </c>
      <c r="G438" s="5">
        <v>45892</v>
      </c>
      <c r="H438" t="str">
        <f t="shared" si="12"/>
        <v>August</v>
      </c>
      <c r="I438" s="5">
        <v>45906</v>
      </c>
      <c r="J438" s="7">
        <f t="shared" si="13"/>
        <v>14</v>
      </c>
      <c r="K438" s="6">
        <v>64484</v>
      </c>
    </row>
    <row r="439" spans="1:11" x14ac:dyDescent="0.3">
      <c r="A439" t="s">
        <v>607</v>
      </c>
      <c r="B439" t="s">
        <v>142</v>
      </c>
      <c r="C439">
        <v>75</v>
      </c>
      <c r="D439" t="s">
        <v>12</v>
      </c>
      <c r="E439" t="s">
        <v>48</v>
      </c>
      <c r="F439" t="s">
        <v>14</v>
      </c>
      <c r="G439" s="5">
        <v>46009</v>
      </c>
      <c r="H439" t="str">
        <f t="shared" si="12"/>
        <v>December</v>
      </c>
      <c r="I439" s="5">
        <v>46024</v>
      </c>
      <c r="J439" s="7">
        <f t="shared" si="13"/>
        <v>15</v>
      </c>
      <c r="K439" s="6">
        <v>110655</v>
      </c>
    </row>
    <row r="440" spans="1:11" x14ac:dyDescent="0.3">
      <c r="A440" t="s">
        <v>608</v>
      </c>
      <c r="B440" t="s">
        <v>116</v>
      </c>
      <c r="C440">
        <v>16</v>
      </c>
      <c r="D440" t="s">
        <v>12</v>
      </c>
      <c r="E440" t="s">
        <v>13</v>
      </c>
      <c r="F440" t="s">
        <v>23</v>
      </c>
      <c r="G440" s="5">
        <v>45796</v>
      </c>
      <c r="H440" t="str">
        <f t="shared" si="12"/>
        <v>May</v>
      </c>
      <c r="I440" s="5">
        <v>45802</v>
      </c>
      <c r="J440" s="7">
        <f t="shared" si="13"/>
        <v>6</v>
      </c>
      <c r="K440" s="6">
        <v>57054</v>
      </c>
    </row>
    <row r="441" spans="1:11" x14ac:dyDescent="0.3">
      <c r="A441" t="s">
        <v>609</v>
      </c>
      <c r="B441" t="s">
        <v>112</v>
      </c>
      <c r="C441">
        <v>38</v>
      </c>
      <c r="D441" t="s">
        <v>17</v>
      </c>
      <c r="E441" t="s">
        <v>102</v>
      </c>
      <c r="F441" t="s">
        <v>34</v>
      </c>
      <c r="G441" s="5">
        <v>45804</v>
      </c>
      <c r="H441" t="str">
        <f t="shared" si="12"/>
        <v>May</v>
      </c>
      <c r="I441" s="5">
        <v>45816</v>
      </c>
      <c r="J441" s="7">
        <f t="shared" si="13"/>
        <v>12</v>
      </c>
      <c r="K441" s="6">
        <v>136380</v>
      </c>
    </row>
    <row r="442" spans="1:11" x14ac:dyDescent="0.3">
      <c r="A442" t="s">
        <v>610</v>
      </c>
      <c r="B442" t="s">
        <v>82</v>
      </c>
      <c r="C442">
        <v>85</v>
      </c>
      <c r="D442" t="s">
        <v>17</v>
      </c>
      <c r="E442" t="s">
        <v>18</v>
      </c>
      <c r="F442" t="s">
        <v>14</v>
      </c>
      <c r="G442" s="5">
        <v>45711</v>
      </c>
      <c r="H442" t="str">
        <f t="shared" si="12"/>
        <v>February</v>
      </c>
      <c r="I442" s="5">
        <v>45718</v>
      </c>
      <c r="J442" s="7">
        <f t="shared" si="13"/>
        <v>7</v>
      </c>
      <c r="K442" s="6">
        <v>69832</v>
      </c>
    </row>
    <row r="443" spans="1:11" x14ac:dyDescent="0.3">
      <c r="A443" t="s">
        <v>611</v>
      </c>
      <c r="B443" t="s">
        <v>303</v>
      </c>
      <c r="C443">
        <v>21</v>
      </c>
      <c r="D443" t="s">
        <v>12</v>
      </c>
      <c r="E443" t="s">
        <v>13</v>
      </c>
      <c r="F443" t="s">
        <v>23</v>
      </c>
      <c r="G443" s="5">
        <v>45919</v>
      </c>
      <c r="H443" t="str">
        <f t="shared" si="12"/>
        <v>September</v>
      </c>
      <c r="I443" s="5">
        <v>45927</v>
      </c>
      <c r="J443" s="7">
        <f t="shared" si="13"/>
        <v>8</v>
      </c>
      <c r="K443" s="6">
        <v>42944</v>
      </c>
    </row>
    <row r="444" spans="1:11" x14ac:dyDescent="0.3">
      <c r="A444" t="s">
        <v>612</v>
      </c>
      <c r="B444" t="s">
        <v>56</v>
      </c>
      <c r="C444">
        <v>59</v>
      </c>
      <c r="D444" t="s">
        <v>17</v>
      </c>
      <c r="E444" t="s">
        <v>39</v>
      </c>
      <c r="F444" t="s">
        <v>34</v>
      </c>
      <c r="G444" s="5">
        <v>45687</v>
      </c>
      <c r="H444" t="str">
        <f t="shared" si="12"/>
        <v>January</v>
      </c>
      <c r="I444" s="5">
        <v>45702</v>
      </c>
      <c r="J444" s="7">
        <f t="shared" si="13"/>
        <v>15</v>
      </c>
      <c r="K444" s="6">
        <v>161520</v>
      </c>
    </row>
    <row r="445" spans="1:11" x14ac:dyDescent="0.3">
      <c r="A445" t="s">
        <v>613</v>
      </c>
      <c r="B445" t="s">
        <v>100</v>
      </c>
      <c r="C445">
        <v>15</v>
      </c>
      <c r="D445" t="s">
        <v>17</v>
      </c>
      <c r="E445" t="s">
        <v>26</v>
      </c>
      <c r="F445" t="s">
        <v>14</v>
      </c>
      <c r="G445" s="5">
        <v>45845</v>
      </c>
      <c r="H445" t="str">
        <f t="shared" si="12"/>
        <v>July</v>
      </c>
      <c r="I445" s="5">
        <v>45857</v>
      </c>
      <c r="J445" s="7">
        <f t="shared" si="13"/>
        <v>12</v>
      </c>
      <c r="K445" s="6">
        <v>73080</v>
      </c>
    </row>
    <row r="446" spans="1:11" x14ac:dyDescent="0.3">
      <c r="A446" t="s">
        <v>614</v>
      </c>
      <c r="B446" t="s">
        <v>615</v>
      </c>
      <c r="C446">
        <v>36</v>
      </c>
      <c r="D446" t="s">
        <v>12</v>
      </c>
      <c r="E446" t="s">
        <v>13</v>
      </c>
      <c r="F446" t="s">
        <v>27</v>
      </c>
      <c r="G446" s="5">
        <v>45796</v>
      </c>
      <c r="H446" t="str">
        <f t="shared" si="12"/>
        <v>May</v>
      </c>
      <c r="I446" s="5">
        <v>45797</v>
      </c>
      <c r="J446" s="7">
        <f t="shared" si="13"/>
        <v>1</v>
      </c>
      <c r="K446" s="6">
        <v>5624</v>
      </c>
    </row>
    <row r="447" spans="1:11" x14ac:dyDescent="0.3">
      <c r="A447" t="s">
        <v>616</v>
      </c>
      <c r="B447" t="s">
        <v>579</v>
      </c>
      <c r="C447">
        <v>2</v>
      </c>
      <c r="D447" t="s">
        <v>12</v>
      </c>
      <c r="E447" t="s">
        <v>39</v>
      </c>
      <c r="F447" t="s">
        <v>34</v>
      </c>
      <c r="G447" s="5">
        <v>45714</v>
      </c>
      <c r="H447" t="str">
        <f t="shared" si="12"/>
        <v>February</v>
      </c>
      <c r="I447" s="5">
        <v>45715</v>
      </c>
      <c r="J447" s="7">
        <f t="shared" si="13"/>
        <v>1</v>
      </c>
      <c r="K447" s="6">
        <v>7215</v>
      </c>
    </row>
    <row r="448" spans="1:11" x14ac:dyDescent="0.3">
      <c r="A448" t="s">
        <v>617</v>
      </c>
      <c r="B448" t="s">
        <v>345</v>
      </c>
      <c r="C448">
        <v>51</v>
      </c>
      <c r="D448" t="s">
        <v>17</v>
      </c>
      <c r="E448" t="s">
        <v>22</v>
      </c>
      <c r="F448" t="s">
        <v>42</v>
      </c>
      <c r="G448" s="5">
        <v>45823</v>
      </c>
      <c r="H448" t="str">
        <f t="shared" si="12"/>
        <v>June</v>
      </c>
      <c r="I448" s="5">
        <v>45836</v>
      </c>
      <c r="J448" s="7">
        <f t="shared" si="13"/>
        <v>13</v>
      </c>
      <c r="K448" s="6">
        <v>133939</v>
      </c>
    </row>
    <row r="449" spans="1:11" x14ac:dyDescent="0.3">
      <c r="A449" t="s">
        <v>618</v>
      </c>
      <c r="B449" t="s">
        <v>50</v>
      </c>
      <c r="C449">
        <v>19</v>
      </c>
      <c r="D449" t="s">
        <v>12</v>
      </c>
      <c r="E449" t="s">
        <v>48</v>
      </c>
      <c r="F449" t="s">
        <v>42</v>
      </c>
      <c r="G449" s="5">
        <v>45753</v>
      </c>
      <c r="H449" t="str">
        <f t="shared" si="12"/>
        <v>April</v>
      </c>
      <c r="I449" s="5">
        <v>45768</v>
      </c>
      <c r="J449" s="7">
        <f t="shared" si="13"/>
        <v>15</v>
      </c>
      <c r="K449" s="6">
        <v>148215</v>
      </c>
    </row>
    <row r="450" spans="1:11" x14ac:dyDescent="0.3">
      <c r="A450" t="s">
        <v>619</v>
      </c>
      <c r="B450" t="s">
        <v>109</v>
      </c>
      <c r="C450">
        <v>43</v>
      </c>
      <c r="D450" t="s">
        <v>17</v>
      </c>
      <c r="E450" t="s">
        <v>45</v>
      </c>
      <c r="F450" t="s">
        <v>59</v>
      </c>
      <c r="G450" s="5">
        <v>45973</v>
      </c>
      <c r="H450" t="str">
        <f t="shared" ref="H450:H513" si="14">TEXT(G450,"mmmm")</f>
        <v>November</v>
      </c>
      <c r="I450" s="5">
        <v>45979</v>
      </c>
      <c r="J450" s="7">
        <f t="shared" si="13"/>
        <v>6</v>
      </c>
      <c r="K450" s="6">
        <v>65766</v>
      </c>
    </row>
    <row r="451" spans="1:11" x14ac:dyDescent="0.3">
      <c r="A451" t="s">
        <v>620</v>
      </c>
      <c r="B451" t="s">
        <v>550</v>
      </c>
      <c r="C451">
        <v>69</v>
      </c>
      <c r="D451" t="s">
        <v>12</v>
      </c>
      <c r="E451" t="s">
        <v>18</v>
      </c>
      <c r="F451" t="s">
        <v>62</v>
      </c>
      <c r="G451" s="5">
        <v>45995</v>
      </c>
      <c r="H451" t="str">
        <f t="shared" si="14"/>
        <v>December</v>
      </c>
      <c r="I451" s="5">
        <v>46006</v>
      </c>
      <c r="J451" s="7">
        <f t="shared" ref="J451:J514" si="15">I451-G451</f>
        <v>11</v>
      </c>
      <c r="K451" s="6">
        <v>81433</v>
      </c>
    </row>
    <row r="452" spans="1:11" x14ac:dyDescent="0.3">
      <c r="A452" t="s">
        <v>621</v>
      </c>
      <c r="B452" t="s">
        <v>394</v>
      </c>
      <c r="C452">
        <v>25</v>
      </c>
      <c r="D452" t="s">
        <v>17</v>
      </c>
      <c r="E452" t="s">
        <v>13</v>
      </c>
      <c r="F452" t="s">
        <v>62</v>
      </c>
      <c r="G452" s="5">
        <v>45713</v>
      </c>
      <c r="H452" t="str">
        <f t="shared" si="14"/>
        <v>February</v>
      </c>
      <c r="I452" s="5">
        <v>45724</v>
      </c>
      <c r="J452" s="7">
        <f t="shared" si="15"/>
        <v>11</v>
      </c>
      <c r="K452" s="6">
        <v>66264</v>
      </c>
    </row>
    <row r="453" spans="1:11" x14ac:dyDescent="0.3">
      <c r="A453" t="s">
        <v>622</v>
      </c>
      <c r="B453" t="s">
        <v>72</v>
      </c>
      <c r="C453">
        <v>9</v>
      </c>
      <c r="D453" t="s">
        <v>12</v>
      </c>
      <c r="E453" t="s">
        <v>22</v>
      </c>
      <c r="F453" t="s">
        <v>62</v>
      </c>
      <c r="G453" s="5">
        <v>45819</v>
      </c>
      <c r="H453" t="str">
        <f t="shared" si="14"/>
        <v>June</v>
      </c>
      <c r="I453" s="5">
        <v>45830</v>
      </c>
      <c r="J453" s="7">
        <f t="shared" si="15"/>
        <v>11</v>
      </c>
      <c r="K453" s="6">
        <v>109274</v>
      </c>
    </row>
    <row r="454" spans="1:11" x14ac:dyDescent="0.3">
      <c r="A454" t="s">
        <v>623</v>
      </c>
      <c r="B454" t="s">
        <v>86</v>
      </c>
      <c r="C454">
        <v>6</v>
      </c>
      <c r="D454" t="s">
        <v>12</v>
      </c>
      <c r="E454" t="s">
        <v>30</v>
      </c>
      <c r="F454" t="s">
        <v>59</v>
      </c>
      <c r="G454" s="5">
        <v>45790</v>
      </c>
      <c r="H454" t="str">
        <f t="shared" si="14"/>
        <v>May</v>
      </c>
      <c r="I454" s="5">
        <v>45804</v>
      </c>
      <c r="J454" s="7">
        <f t="shared" si="15"/>
        <v>14</v>
      </c>
      <c r="K454" s="6">
        <v>57666</v>
      </c>
    </row>
    <row r="455" spans="1:11" x14ac:dyDescent="0.3">
      <c r="A455" t="s">
        <v>624</v>
      </c>
      <c r="B455" t="s">
        <v>86</v>
      </c>
      <c r="C455">
        <v>40</v>
      </c>
      <c r="D455" t="s">
        <v>17</v>
      </c>
      <c r="E455" t="s">
        <v>26</v>
      </c>
      <c r="F455" t="s">
        <v>59</v>
      </c>
      <c r="G455" s="5">
        <v>45879</v>
      </c>
      <c r="H455" t="str">
        <f t="shared" si="14"/>
        <v>August</v>
      </c>
      <c r="I455" s="5">
        <v>45892</v>
      </c>
      <c r="J455" s="7">
        <f t="shared" si="15"/>
        <v>13</v>
      </c>
      <c r="K455" s="6">
        <v>143923</v>
      </c>
    </row>
    <row r="456" spans="1:11" x14ac:dyDescent="0.3">
      <c r="A456" t="s">
        <v>625</v>
      </c>
      <c r="B456" t="s">
        <v>626</v>
      </c>
      <c r="C456">
        <v>6</v>
      </c>
      <c r="D456" t="s">
        <v>12</v>
      </c>
      <c r="E456" t="s">
        <v>48</v>
      </c>
      <c r="F456" t="s">
        <v>14</v>
      </c>
      <c r="G456" s="5">
        <v>46010</v>
      </c>
      <c r="H456" t="str">
        <f t="shared" si="14"/>
        <v>December</v>
      </c>
      <c r="I456" s="5">
        <v>46013</v>
      </c>
      <c r="J456" s="7">
        <f t="shared" si="15"/>
        <v>3</v>
      </c>
      <c r="K456" s="6">
        <v>28863</v>
      </c>
    </row>
    <row r="457" spans="1:11" x14ac:dyDescent="0.3">
      <c r="A457" t="s">
        <v>627</v>
      </c>
      <c r="B457" t="s">
        <v>41</v>
      </c>
      <c r="C457">
        <v>2</v>
      </c>
      <c r="D457" t="s">
        <v>12</v>
      </c>
      <c r="E457" t="s">
        <v>45</v>
      </c>
      <c r="F457" t="s">
        <v>59</v>
      </c>
      <c r="G457" s="5">
        <v>45758</v>
      </c>
      <c r="H457" t="str">
        <f t="shared" si="14"/>
        <v>April</v>
      </c>
      <c r="I457" s="5">
        <v>45766</v>
      </c>
      <c r="J457" s="7">
        <f t="shared" si="15"/>
        <v>8</v>
      </c>
      <c r="K457" s="6">
        <v>71560</v>
      </c>
    </row>
    <row r="458" spans="1:11" x14ac:dyDescent="0.3">
      <c r="A458" t="s">
        <v>628</v>
      </c>
      <c r="B458" t="s">
        <v>78</v>
      </c>
      <c r="C458">
        <v>75</v>
      </c>
      <c r="D458" t="s">
        <v>12</v>
      </c>
      <c r="E458" t="s">
        <v>45</v>
      </c>
      <c r="F458" t="s">
        <v>62</v>
      </c>
      <c r="G458" s="5">
        <v>45735</v>
      </c>
      <c r="H458" t="str">
        <f t="shared" si="14"/>
        <v>March</v>
      </c>
      <c r="I458" s="5">
        <v>45749</v>
      </c>
      <c r="J458" s="7">
        <f t="shared" si="15"/>
        <v>14</v>
      </c>
      <c r="K458" s="6">
        <v>65996</v>
      </c>
    </row>
    <row r="459" spans="1:11" x14ac:dyDescent="0.3">
      <c r="A459" t="s">
        <v>629</v>
      </c>
      <c r="B459" t="s">
        <v>118</v>
      </c>
      <c r="C459">
        <v>64</v>
      </c>
      <c r="D459" t="s">
        <v>12</v>
      </c>
      <c r="E459" t="s">
        <v>39</v>
      </c>
      <c r="F459" t="s">
        <v>27</v>
      </c>
      <c r="G459" s="5">
        <v>45823</v>
      </c>
      <c r="H459" t="str">
        <f t="shared" si="14"/>
        <v>June</v>
      </c>
      <c r="I459" s="5">
        <v>45827</v>
      </c>
      <c r="J459" s="7">
        <f t="shared" si="15"/>
        <v>4</v>
      </c>
      <c r="K459" s="6">
        <v>26316</v>
      </c>
    </row>
    <row r="460" spans="1:11" x14ac:dyDescent="0.3">
      <c r="A460" t="s">
        <v>630</v>
      </c>
      <c r="B460" t="s">
        <v>238</v>
      </c>
      <c r="C460">
        <v>86</v>
      </c>
      <c r="D460" t="s">
        <v>17</v>
      </c>
      <c r="E460" t="s">
        <v>39</v>
      </c>
      <c r="F460" t="s">
        <v>34</v>
      </c>
      <c r="G460" s="5">
        <v>45937</v>
      </c>
      <c r="H460" t="str">
        <f t="shared" si="14"/>
        <v>October</v>
      </c>
      <c r="I460" s="5">
        <v>45944</v>
      </c>
      <c r="J460" s="7">
        <f t="shared" si="15"/>
        <v>7</v>
      </c>
      <c r="K460" s="6">
        <v>67620</v>
      </c>
    </row>
    <row r="461" spans="1:11" x14ac:dyDescent="0.3">
      <c r="A461" t="s">
        <v>631</v>
      </c>
      <c r="B461" t="s">
        <v>191</v>
      </c>
      <c r="C461">
        <v>27</v>
      </c>
      <c r="D461" t="s">
        <v>12</v>
      </c>
      <c r="E461" t="s">
        <v>13</v>
      </c>
      <c r="F461" t="s">
        <v>23</v>
      </c>
      <c r="G461" s="5">
        <v>45963</v>
      </c>
      <c r="H461" t="str">
        <f t="shared" si="14"/>
        <v>November</v>
      </c>
      <c r="I461" s="5">
        <v>45967</v>
      </c>
      <c r="J461" s="7">
        <f t="shared" si="15"/>
        <v>4</v>
      </c>
      <c r="K461" s="6">
        <v>28984</v>
      </c>
    </row>
    <row r="462" spans="1:11" x14ac:dyDescent="0.3">
      <c r="A462" t="s">
        <v>632</v>
      </c>
      <c r="B462" t="s">
        <v>394</v>
      </c>
      <c r="C462">
        <v>47</v>
      </c>
      <c r="D462" t="s">
        <v>12</v>
      </c>
      <c r="E462" t="s">
        <v>13</v>
      </c>
      <c r="F462" t="s">
        <v>62</v>
      </c>
      <c r="G462" s="5">
        <v>45849</v>
      </c>
      <c r="H462" t="str">
        <f t="shared" si="14"/>
        <v>July</v>
      </c>
      <c r="I462" s="5">
        <v>45854</v>
      </c>
      <c r="J462" s="7">
        <f t="shared" si="15"/>
        <v>5</v>
      </c>
      <c r="K462" s="6">
        <v>25390</v>
      </c>
    </row>
    <row r="463" spans="1:11" x14ac:dyDescent="0.3">
      <c r="A463" t="s">
        <v>633</v>
      </c>
      <c r="B463" t="s">
        <v>58</v>
      </c>
      <c r="C463">
        <v>72</v>
      </c>
      <c r="D463" t="s">
        <v>12</v>
      </c>
      <c r="E463" t="s">
        <v>26</v>
      </c>
      <c r="F463" t="s">
        <v>34</v>
      </c>
      <c r="G463" s="5">
        <v>45959</v>
      </c>
      <c r="H463" t="str">
        <f t="shared" si="14"/>
        <v>October</v>
      </c>
      <c r="I463" s="5">
        <v>45961</v>
      </c>
      <c r="J463" s="7">
        <f t="shared" si="15"/>
        <v>2</v>
      </c>
      <c r="K463" s="6">
        <v>17000</v>
      </c>
    </row>
    <row r="464" spans="1:11" x14ac:dyDescent="0.3">
      <c r="A464" t="s">
        <v>634</v>
      </c>
      <c r="B464" t="s">
        <v>322</v>
      </c>
      <c r="C464">
        <v>9</v>
      </c>
      <c r="D464" t="s">
        <v>17</v>
      </c>
      <c r="E464" t="s">
        <v>45</v>
      </c>
      <c r="F464" t="s">
        <v>27</v>
      </c>
      <c r="G464" s="5">
        <v>45894</v>
      </c>
      <c r="H464" t="str">
        <f t="shared" si="14"/>
        <v>August</v>
      </c>
      <c r="I464" s="5">
        <v>45896</v>
      </c>
      <c r="J464" s="7">
        <f t="shared" si="15"/>
        <v>2</v>
      </c>
      <c r="K464" s="6">
        <v>10030</v>
      </c>
    </row>
    <row r="465" spans="1:11" x14ac:dyDescent="0.3">
      <c r="A465" t="s">
        <v>635</v>
      </c>
      <c r="B465" t="s">
        <v>98</v>
      </c>
      <c r="C465">
        <v>23</v>
      </c>
      <c r="D465" t="s">
        <v>17</v>
      </c>
      <c r="E465" t="s">
        <v>33</v>
      </c>
      <c r="F465" t="s">
        <v>59</v>
      </c>
      <c r="G465" s="5">
        <v>45726</v>
      </c>
      <c r="H465" t="str">
        <f t="shared" si="14"/>
        <v>March</v>
      </c>
      <c r="I465" s="5">
        <v>45730</v>
      </c>
      <c r="J465" s="7">
        <f t="shared" si="15"/>
        <v>4</v>
      </c>
      <c r="K465" s="6">
        <v>21420</v>
      </c>
    </row>
    <row r="466" spans="1:11" x14ac:dyDescent="0.3">
      <c r="A466" t="s">
        <v>636</v>
      </c>
      <c r="B466" t="s">
        <v>127</v>
      </c>
      <c r="C466">
        <v>76</v>
      </c>
      <c r="D466" t="s">
        <v>17</v>
      </c>
      <c r="E466" t="s">
        <v>30</v>
      </c>
      <c r="F466" t="s">
        <v>59</v>
      </c>
      <c r="G466" s="5">
        <v>45977</v>
      </c>
      <c r="H466" t="str">
        <f t="shared" si="14"/>
        <v>November</v>
      </c>
      <c r="I466" s="5">
        <v>45984</v>
      </c>
      <c r="J466" s="7">
        <f t="shared" si="15"/>
        <v>7</v>
      </c>
      <c r="K466" s="6">
        <v>45899</v>
      </c>
    </row>
    <row r="467" spans="1:11" x14ac:dyDescent="0.3">
      <c r="A467" t="s">
        <v>637</v>
      </c>
      <c r="B467" t="s">
        <v>50</v>
      </c>
      <c r="C467">
        <v>27</v>
      </c>
      <c r="D467" t="s">
        <v>12</v>
      </c>
      <c r="E467" t="s">
        <v>45</v>
      </c>
      <c r="F467" t="s">
        <v>23</v>
      </c>
      <c r="G467" s="5">
        <v>45680</v>
      </c>
      <c r="H467" t="str">
        <f t="shared" si="14"/>
        <v>January</v>
      </c>
      <c r="I467" s="5">
        <v>45690</v>
      </c>
      <c r="J467" s="7">
        <f t="shared" si="15"/>
        <v>10</v>
      </c>
      <c r="K467" s="6">
        <v>92630</v>
      </c>
    </row>
    <row r="468" spans="1:11" x14ac:dyDescent="0.3">
      <c r="A468" t="s">
        <v>638</v>
      </c>
      <c r="B468" t="s">
        <v>579</v>
      </c>
      <c r="C468">
        <v>55</v>
      </c>
      <c r="D468" t="s">
        <v>17</v>
      </c>
      <c r="E468" t="s">
        <v>102</v>
      </c>
      <c r="F468" t="s">
        <v>59</v>
      </c>
      <c r="G468" s="5">
        <v>45746</v>
      </c>
      <c r="H468" t="str">
        <f t="shared" si="14"/>
        <v>March</v>
      </c>
      <c r="I468" s="5">
        <v>45755</v>
      </c>
      <c r="J468" s="7">
        <f t="shared" si="15"/>
        <v>9</v>
      </c>
      <c r="K468" s="6">
        <v>74151</v>
      </c>
    </row>
    <row r="469" spans="1:11" x14ac:dyDescent="0.3">
      <c r="A469" t="s">
        <v>639</v>
      </c>
      <c r="B469" t="s">
        <v>100</v>
      </c>
      <c r="C469">
        <v>73</v>
      </c>
      <c r="D469" t="s">
        <v>12</v>
      </c>
      <c r="E469" t="s">
        <v>22</v>
      </c>
      <c r="F469" t="s">
        <v>23</v>
      </c>
      <c r="G469" s="5">
        <v>45752</v>
      </c>
      <c r="H469" t="str">
        <f t="shared" si="14"/>
        <v>April</v>
      </c>
      <c r="I469" s="5">
        <v>45766</v>
      </c>
      <c r="J469" s="7">
        <f t="shared" si="15"/>
        <v>14</v>
      </c>
      <c r="K469" s="6">
        <v>57064</v>
      </c>
    </row>
    <row r="470" spans="1:11" x14ac:dyDescent="0.3">
      <c r="A470" t="s">
        <v>640</v>
      </c>
      <c r="B470" t="s">
        <v>455</v>
      </c>
      <c r="C470">
        <v>49</v>
      </c>
      <c r="D470" t="s">
        <v>17</v>
      </c>
      <c r="E470" t="s">
        <v>33</v>
      </c>
      <c r="F470" t="s">
        <v>62</v>
      </c>
      <c r="G470" s="5">
        <v>45925</v>
      </c>
      <c r="H470" t="str">
        <f t="shared" si="14"/>
        <v>September</v>
      </c>
      <c r="I470" s="5">
        <v>45935</v>
      </c>
      <c r="J470" s="7">
        <f t="shared" si="15"/>
        <v>10</v>
      </c>
      <c r="K470" s="6">
        <v>105610</v>
      </c>
    </row>
    <row r="471" spans="1:11" x14ac:dyDescent="0.3">
      <c r="A471" t="s">
        <v>641</v>
      </c>
      <c r="B471" t="s">
        <v>130</v>
      </c>
      <c r="C471">
        <v>36</v>
      </c>
      <c r="D471" t="s">
        <v>12</v>
      </c>
      <c r="E471" t="s">
        <v>26</v>
      </c>
      <c r="F471" t="s">
        <v>62</v>
      </c>
      <c r="G471" s="5">
        <v>45882</v>
      </c>
      <c r="H471" t="str">
        <f t="shared" si="14"/>
        <v>August</v>
      </c>
      <c r="I471" s="5">
        <v>45892</v>
      </c>
      <c r="J471" s="7">
        <f t="shared" si="15"/>
        <v>10</v>
      </c>
      <c r="K471" s="6">
        <v>73210</v>
      </c>
    </row>
    <row r="472" spans="1:11" x14ac:dyDescent="0.3">
      <c r="A472" t="s">
        <v>642</v>
      </c>
      <c r="B472" t="s">
        <v>209</v>
      </c>
      <c r="C472">
        <v>19</v>
      </c>
      <c r="D472" t="s">
        <v>17</v>
      </c>
      <c r="E472" t="s">
        <v>26</v>
      </c>
      <c r="F472" t="s">
        <v>62</v>
      </c>
      <c r="G472" s="5">
        <v>45961</v>
      </c>
      <c r="H472" t="str">
        <f t="shared" si="14"/>
        <v>October</v>
      </c>
      <c r="I472" s="5">
        <v>45963</v>
      </c>
      <c r="J472" s="7">
        <f t="shared" si="15"/>
        <v>2</v>
      </c>
      <c r="K472" s="6">
        <v>13854</v>
      </c>
    </row>
    <row r="473" spans="1:11" x14ac:dyDescent="0.3">
      <c r="A473" t="s">
        <v>643</v>
      </c>
      <c r="B473" t="s">
        <v>201</v>
      </c>
      <c r="C473">
        <v>16</v>
      </c>
      <c r="D473" t="s">
        <v>12</v>
      </c>
      <c r="E473" t="s">
        <v>48</v>
      </c>
      <c r="F473" t="s">
        <v>23</v>
      </c>
      <c r="G473" s="5">
        <v>45671</v>
      </c>
      <c r="H473" t="str">
        <f t="shared" si="14"/>
        <v>January</v>
      </c>
      <c r="I473" s="5">
        <v>45677</v>
      </c>
      <c r="J473" s="7">
        <f t="shared" si="15"/>
        <v>6</v>
      </c>
      <c r="K473" s="6">
        <v>31194</v>
      </c>
    </row>
    <row r="474" spans="1:11" x14ac:dyDescent="0.3">
      <c r="A474" t="s">
        <v>644</v>
      </c>
      <c r="B474" t="s">
        <v>203</v>
      </c>
      <c r="C474">
        <v>43</v>
      </c>
      <c r="D474" t="s">
        <v>17</v>
      </c>
      <c r="E474" t="s">
        <v>26</v>
      </c>
      <c r="F474" t="s">
        <v>14</v>
      </c>
      <c r="G474" s="5">
        <v>45776</v>
      </c>
      <c r="H474" t="str">
        <f t="shared" si="14"/>
        <v>April</v>
      </c>
      <c r="I474" s="5">
        <v>45777</v>
      </c>
      <c r="J474" s="7">
        <f t="shared" si="15"/>
        <v>1</v>
      </c>
      <c r="K474" s="6">
        <v>8242</v>
      </c>
    </row>
    <row r="475" spans="1:11" x14ac:dyDescent="0.3">
      <c r="A475" t="s">
        <v>645</v>
      </c>
      <c r="B475" t="s">
        <v>275</v>
      </c>
      <c r="C475">
        <v>5</v>
      </c>
      <c r="D475" t="s">
        <v>17</v>
      </c>
      <c r="E475" t="s">
        <v>26</v>
      </c>
      <c r="F475" t="s">
        <v>42</v>
      </c>
      <c r="G475" s="5">
        <v>45888</v>
      </c>
      <c r="H475" t="str">
        <f t="shared" si="14"/>
        <v>August</v>
      </c>
      <c r="I475" s="5">
        <v>45897</v>
      </c>
      <c r="J475" s="7">
        <f t="shared" si="15"/>
        <v>9</v>
      </c>
      <c r="K475" s="6">
        <v>86616</v>
      </c>
    </row>
    <row r="476" spans="1:11" x14ac:dyDescent="0.3">
      <c r="A476" t="s">
        <v>646</v>
      </c>
      <c r="B476" t="s">
        <v>435</v>
      </c>
      <c r="C476">
        <v>66</v>
      </c>
      <c r="D476" t="s">
        <v>12</v>
      </c>
      <c r="E476" t="s">
        <v>13</v>
      </c>
      <c r="F476" t="s">
        <v>19</v>
      </c>
      <c r="G476" s="5">
        <v>45936</v>
      </c>
      <c r="H476" t="str">
        <f t="shared" si="14"/>
        <v>October</v>
      </c>
      <c r="I476" s="5">
        <v>45942</v>
      </c>
      <c r="J476" s="7">
        <f t="shared" si="15"/>
        <v>6</v>
      </c>
      <c r="K476" s="6">
        <v>35304</v>
      </c>
    </row>
    <row r="477" spans="1:11" x14ac:dyDescent="0.3">
      <c r="A477" t="s">
        <v>647</v>
      </c>
      <c r="B477" t="s">
        <v>64</v>
      </c>
      <c r="C477">
        <v>42</v>
      </c>
      <c r="D477" t="s">
        <v>17</v>
      </c>
      <c r="E477" t="s">
        <v>18</v>
      </c>
      <c r="F477" t="s">
        <v>62</v>
      </c>
      <c r="G477" s="5">
        <v>45992</v>
      </c>
      <c r="H477" t="str">
        <f t="shared" si="14"/>
        <v>December</v>
      </c>
      <c r="I477" s="5">
        <v>45997</v>
      </c>
      <c r="J477" s="7">
        <f t="shared" si="15"/>
        <v>5</v>
      </c>
      <c r="K477" s="6">
        <v>35275</v>
      </c>
    </row>
    <row r="478" spans="1:11" x14ac:dyDescent="0.3">
      <c r="A478" t="s">
        <v>648</v>
      </c>
      <c r="B478" t="s">
        <v>132</v>
      </c>
      <c r="C478">
        <v>16</v>
      </c>
      <c r="D478" t="s">
        <v>17</v>
      </c>
      <c r="E478" t="s">
        <v>18</v>
      </c>
      <c r="F478" t="s">
        <v>23</v>
      </c>
      <c r="G478" s="5">
        <v>45894</v>
      </c>
      <c r="H478" t="str">
        <f t="shared" si="14"/>
        <v>August</v>
      </c>
      <c r="I478" s="5">
        <v>45903</v>
      </c>
      <c r="J478" s="7">
        <f t="shared" si="15"/>
        <v>9</v>
      </c>
      <c r="K478" s="6">
        <v>92979</v>
      </c>
    </row>
    <row r="479" spans="1:11" x14ac:dyDescent="0.3">
      <c r="A479" t="s">
        <v>649</v>
      </c>
      <c r="B479" t="s">
        <v>76</v>
      </c>
      <c r="C479">
        <v>75</v>
      </c>
      <c r="D479" t="s">
        <v>17</v>
      </c>
      <c r="E479" t="s">
        <v>18</v>
      </c>
      <c r="F479" t="s">
        <v>27</v>
      </c>
      <c r="G479" s="5">
        <v>46014</v>
      </c>
      <c r="H479" t="str">
        <f t="shared" si="14"/>
        <v>December</v>
      </c>
      <c r="I479" s="5">
        <v>46025</v>
      </c>
      <c r="J479" s="7">
        <f t="shared" si="15"/>
        <v>11</v>
      </c>
      <c r="K479" s="6">
        <v>77704</v>
      </c>
    </row>
    <row r="480" spans="1:11" x14ac:dyDescent="0.3">
      <c r="A480" t="s">
        <v>650</v>
      </c>
      <c r="B480" t="s">
        <v>76</v>
      </c>
      <c r="C480">
        <v>9</v>
      </c>
      <c r="D480" t="s">
        <v>17</v>
      </c>
      <c r="E480" t="s">
        <v>13</v>
      </c>
      <c r="F480" t="s">
        <v>34</v>
      </c>
      <c r="G480" s="5">
        <v>45687</v>
      </c>
      <c r="H480" t="str">
        <f t="shared" si="14"/>
        <v>January</v>
      </c>
      <c r="I480" s="5">
        <v>45691</v>
      </c>
      <c r="J480" s="7">
        <f t="shared" si="15"/>
        <v>4</v>
      </c>
      <c r="K480" s="6">
        <v>38200</v>
      </c>
    </row>
    <row r="481" spans="1:11" x14ac:dyDescent="0.3">
      <c r="A481" t="s">
        <v>651</v>
      </c>
      <c r="B481" t="s">
        <v>54</v>
      </c>
      <c r="C481">
        <v>22</v>
      </c>
      <c r="D481" t="s">
        <v>17</v>
      </c>
      <c r="E481" t="s">
        <v>33</v>
      </c>
      <c r="F481" t="s">
        <v>34</v>
      </c>
      <c r="G481" s="5">
        <v>45949</v>
      </c>
      <c r="H481" t="str">
        <f t="shared" si="14"/>
        <v>October</v>
      </c>
      <c r="I481" s="5">
        <v>45963</v>
      </c>
      <c r="J481" s="7">
        <f t="shared" si="15"/>
        <v>14</v>
      </c>
      <c r="K481" s="6">
        <v>70168</v>
      </c>
    </row>
    <row r="482" spans="1:11" x14ac:dyDescent="0.3">
      <c r="A482" t="s">
        <v>652</v>
      </c>
      <c r="B482" t="s">
        <v>47</v>
      </c>
      <c r="C482">
        <v>51</v>
      </c>
      <c r="D482" t="s">
        <v>17</v>
      </c>
      <c r="E482" t="s">
        <v>39</v>
      </c>
      <c r="F482" t="s">
        <v>14</v>
      </c>
      <c r="G482" s="5">
        <v>45729</v>
      </c>
      <c r="H482" t="str">
        <f t="shared" si="14"/>
        <v>March</v>
      </c>
      <c r="I482" s="5">
        <v>45734</v>
      </c>
      <c r="J482" s="7">
        <f t="shared" si="15"/>
        <v>5</v>
      </c>
      <c r="K482" s="6">
        <v>29285</v>
      </c>
    </row>
    <row r="483" spans="1:11" x14ac:dyDescent="0.3">
      <c r="A483" t="s">
        <v>653</v>
      </c>
      <c r="B483" t="s">
        <v>241</v>
      </c>
      <c r="C483">
        <v>67</v>
      </c>
      <c r="D483" t="s">
        <v>17</v>
      </c>
      <c r="E483" t="s">
        <v>45</v>
      </c>
      <c r="F483" t="s">
        <v>19</v>
      </c>
      <c r="G483" s="5">
        <v>46022</v>
      </c>
      <c r="H483" t="str">
        <f t="shared" si="14"/>
        <v>December</v>
      </c>
      <c r="I483" s="5">
        <v>46037</v>
      </c>
      <c r="J483" s="7">
        <f t="shared" si="15"/>
        <v>15</v>
      </c>
      <c r="K483" s="6">
        <v>139725</v>
      </c>
    </row>
    <row r="484" spans="1:11" x14ac:dyDescent="0.3">
      <c r="A484" t="s">
        <v>654</v>
      </c>
      <c r="B484" t="s">
        <v>66</v>
      </c>
      <c r="C484">
        <v>57</v>
      </c>
      <c r="D484" t="s">
        <v>17</v>
      </c>
      <c r="E484" t="s">
        <v>45</v>
      </c>
      <c r="F484" t="s">
        <v>42</v>
      </c>
      <c r="G484" s="5">
        <v>45684</v>
      </c>
      <c r="H484" t="str">
        <f t="shared" si="14"/>
        <v>January</v>
      </c>
      <c r="I484" s="5">
        <v>45688</v>
      </c>
      <c r="J484" s="7">
        <f t="shared" si="15"/>
        <v>4</v>
      </c>
      <c r="K484" s="6">
        <v>46588</v>
      </c>
    </row>
    <row r="485" spans="1:11" x14ac:dyDescent="0.3">
      <c r="A485" t="s">
        <v>655</v>
      </c>
      <c r="B485" t="s">
        <v>656</v>
      </c>
      <c r="C485">
        <v>90</v>
      </c>
      <c r="D485" t="s">
        <v>17</v>
      </c>
      <c r="E485" t="s">
        <v>18</v>
      </c>
      <c r="F485" t="s">
        <v>27</v>
      </c>
      <c r="G485" s="5">
        <v>45844</v>
      </c>
      <c r="H485" t="str">
        <f t="shared" si="14"/>
        <v>July</v>
      </c>
      <c r="I485" s="5">
        <v>45856</v>
      </c>
      <c r="J485" s="7">
        <f t="shared" si="15"/>
        <v>12</v>
      </c>
      <c r="K485" s="6">
        <v>121368</v>
      </c>
    </row>
    <row r="486" spans="1:11" x14ac:dyDescent="0.3">
      <c r="A486" t="s">
        <v>657</v>
      </c>
      <c r="B486" t="s">
        <v>52</v>
      </c>
      <c r="C486">
        <v>49</v>
      </c>
      <c r="D486" t="s">
        <v>12</v>
      </c>
      <c r="E486" t="s">
        <v>30</v>
      </c>
      <c r="F486" t="s">
        <v>27</v>
      </c>
      <c r="G486" s="5">
        <v>45684</v>
      </c>
      <c r="H486" t="str">
        <f t="shared" si="14"/>
        <v>January</v>
      </c>
      <c r="I486" s="5">
        <v>45691</v>
      </c>
      <c r="J486" s="7">
        <f t="shared" si="15"/>
        <v>7</v>
      </c>
      <c r="K486" s="6">
        <v>66766</v>
      </c>
    </row>
    <row r="487" spans="1:11" x14ac:dyDescent="0.3">
      <c r="A487" t="s">
        <v>658</v>
      </c>
      <c r="B487" t="s">
        <v>158</v>
      </c>
      <c r="C487">
        <v>6</v>
      </c>
      <c r="D487" t="s">
        <v>17</v>
      </c>
      <c r="E487" t="s">
        <v>102</v>
      </c>
      <c r="F487" t="s">
        <v>42</v>
      </c>
      <c r="G487" s="5">
        <v>45944</v>
      </c>
      <c r="H487" t="str">
        <f t="shared" si="14"/>
        <v>October</v>
      </c>
      <c r="I487" s="5">
        <v>45953</v>
      </c>
      <c r="J487" s="7">
        <f t="shared" si="15"/>
        <v>9</v>
      </c>
      <c r="K487" s="6">
        <v>46161</v>
      </c>
    </row>
    <row r="488" spans="1:11" x14ac:dyDescent="0.3">
      <c r="A488" t="s">
        <v>659</v>
      </c>
      <c r="B488" t="s">
        <v>41</v>
      </c>
      <c r="C488">
        <v>28</v>
      </c>
      <c r="D488" t="s">
        <v>17</v>
      </c>
      <c r="E488" t="s">
        <v>45</v>
      </c>
      <c r="F488" t="s">
        <v>19</v>
      </c>
      <c r="G488" s="5">
        <v>45709</v>
      </c>
      <c r="H488" t="str">
        <f t="shared" si="14"/>
        <v>February</v>
      </c>
      <c r="I488" s="5">
        <v>45712</v>
      </c>
      <c r="J488" s="7">
        <f t="shared" si="15"/>
        <v>3</v>
      </c>
      <c r="K488" s="6">
        <v>18201</v>
      </c>
    </row>
    <row r="489" spans="1:11" x14ac:dyDescent="0.3">
      <c r="A489" t="s">
        <v>660</v>
      </c>
      <c r="B489" t="s">
        <v>236</v>
      </c>
      <c r="C489">
        <v>57</v>
      </c>
      <c r="D489" t="s">
        <v>12</v>
      </c>
      <c r="E489" t="s">
        <v>26</v>
      </c>
      <c r="F489" t="s">
        <v>62</v>
      </c>
      <c r="G489" s="5">
        <v>45970</v>
      </c>
      <c r="H489" t="str">
        <f t="shared" si="14"/>
        <v>November</v>
      </c>
      <c r="I489" s="5">
        <v>45985</v>
      </c>
      <c r="J489" s="7">
        <f t="shared" si="15"/>
        <v>15</v>
      </c>
      <c r="K489" s="6">
        <v>137100</v>
      </c>
    </row>
    <row r="490" spans="1:11" x14ac:dyDescent="0.3">
      <c r="A490" t="s">
        <v>661</v>
      </c>
      <c r="B490" t="s">
        <v>76</v>
      </c>
      <c r="C490">
        <v>46</v>
      </c>
      <c r="D490" t="s">
        <v>17</v>
      </c>
      <c r="E490" t="s">
        <v>13</v>
      </c>
      <c r="F490" t="s">
        <v>42</v>
      </c>
      <c r="G490" s="5">
        <v>45879</v>
      </c>
      <c r="H490" t="str">
        <f t="shared" si="14"/>
        <v>August</v>
      </c>
      <c r="I490" s="5">
        <v>45882</v>
      </c>
      <c r="J490" s="7">
        <f t="shared" si="15"/>
        <v>3</v>
      </c>
      <c r="K490" s="6">
        <v>29097</v>
      </c>
    </row>
    <row r="491" spans="1:11" x14ac:dyDescent="0.3">
      <c r="A491" t="s">
        <v>662</v>
      </c>
      <c r="B491" t="s">
        <v>185</v>
      </c>
      <c r="C491">
        <v>78</v>
      </c>
      <c r="D491" t="s">
        <v>17</v>
      </c>
      <c r="E491" t="s">
        <v>22</v>
      </c>
      <c r="F491" t="s">
        <v>14</v>
      </c>
      <c r="G491" s="5">
        <v>45730</v>
      </c>
      <c r="H491" t="str">
        <f t="shared" si="14"/>
        <v>March</v>
      </c>
      <c r="I491" s="5">
        <v>45732</v>
      </c>
      <c r="J491" s="7">
        <f t="shared" si="15"/>
        <v>2</v>
      </c>
      <c r="K491" s="6">
        <v>8942</v>
      </c>
    </row>
    <row r="492" spans="1:11" x14ac:dyDescent="0.3">
      <c r="A492" t="s">
        <v>663</v>
      </c>
      <c r="B492" t="s">
        <v>256</v>
      </c>
      <c r="C492">
        <v>55</v>
      </c>
      <c r="D492" t="s">
        <v>17</v>
      </c>
      <c r="E492" t="s">
        <v>13</v>
      </c>
      <c r="F492" t="s">
        <v>42</v>
      </c>
      <c r="G492" s="5">
        <v>45775</v>
      </c>
      <c r="H492" t="str">
        <f t="shared" si="14"/>
        <v>April</v>
      </c>
      <c r="I492" s="5">
        <v>45779</v>
      </c>
      <c r="J492" s="7">
        <f t="shared" si="15"/>
        <v>4</v>
      </c>
      <c r="K492" s="6">
        <v>35572</v>
      </c>
    </row>
    <row r="493" spans="1:11" x14ac:dyDescent="0.3">
      <c r="A493" t="s">
        <v>664</v>
      </c>
      <c r="B493" t="s">
        <v>236</v>
      </c>
      <c r="C493">
        <v>20</v>
      </c>
      <c r="D493" t="s">
        <v>12</v>
      </c>
      <c r="E493" t="s">
        <v>39</v>
      </c>
      <c r="F493" t="s">
        <v>34</v>
      </c>
      <c r="G493" s="5">
        <v>45978</v>
      </c>
      <c r="H493" t="str">
        <f t="shared" si="14"/>
        <v>November</v>
      </c>
      <c r="I493" s="5">
        <v>45981</v>
      </c>
      <c r="J493" s="7">
        <f t="shared" si="15"/>
        <v>3</v>
      </c>
      <c r="K493" s="6">
        <v>19905</v>
      </c>
    </row>
    <row r="494" spans="1:11" x14ac:dyDescent="0.3">
      <c r="A494" t="s">
        <v>665</v>
      </c>
      <c r="B494" t="s">
        <v>154</v>
      </c>
      <c r="C494">
        <v>23</v>
      </c>
      <c r="D494" t="s">
        <v>12</v>
      </c>
      <c r="E494" t="s">
        <v>48</v>
      </c>
      <c r="F494" t="s">
        <v>14</v>
      </c>
      <c r="G494" s="5">
        <v>45680</v>
      </c>
      <c r="H494" t="str">
        <f t="shared" si="14"/>
        <v>January</v>
      </c>
      <c r="I494" s="5">
        <v>45683</v>
      </c>
      <c r="J494" s="7">
        <f t="shared" si="15"/>
        <v>3</v>
      </c>
      <c r="K494" s="6">
        <v>15570</v>
      </c>
    </row>
    <row r="495" spans="1:11" x14ac:dyDescent="0.3">
      <c r="A495" t="s">
        <v>666</v>
      </c>
      <c r="B495" t="s">
        <v>70</v>
      </c>
      <c r="C495">
        <v>41</v>
      </c>
      <c r="D495" t="s">
        <v>17</v>
      </c>
      <c r="E495" t="s">
        <v>39</v>
      </c>
      <c r="F495" t="s">
        <v>59</v>
      </c>
      <c r="G495" s="5">
        <v>45925</v>
      </c>
      <c r="H495" t="str">
        <f t="shared" si="14"/>
        <v>September</v>
      </c>
      <c r="I495" s="5">
        <v>45937</v>
      </c>
      <c r="J495" s="7">
        <f t="shared" si="15"/>
        <v>12</v>
      </c>
      <c r="K495" s="6">
        <v>75240</v>
      </c>
    </row>
    <row r="496" spans="1:11" x14ac:dyDescent="0.3">
      <c r="A496" t="s">
        <v>667</v>
      </c>
      <c r="B496" t="s">
        <v>144</v>
      </c>
      <c r="C496">
        <v>69</v>
      </c>
      <c r="D496" t="s">
        <v>17</v>
      </c>
      <c r="E496" t="s">
        <v>22</v>
      </c>
      <c r="F496" t="s">
        <v>34</v>
      </c>
      <c r="G496" s="5">
        <v>45905</v>
      </c>
      <c r="H496" t="str">
        <f t="shared" si="14"/>
        <v>September</v>
      </c>
      <c r="I496" s="5">
        <v>45913</v>
      </c>
      <c r="J496" s="7">
        <f t="shared" si="15"/>
        <v>8</v>
      </c>
      <c r="K496" s="6">
        <v>73768</v>
      </c>
    </row>
    <row r="497" spans="1:11" x14ac:dyDescent="0.3">
      <c r="A497" t="s">
        <v>668</v>
      </c>
      <c r="B497" t="s">
        <v>343</v>
      </c>
      <c r="C497">
        <v>8</v>
      </c>
      <c r="D497" t="s">
        <v>17</v>
      </c>
      <c r="E497" t="s">
        <v>48</v>
      </c>
      <c r="F497" t="s">
        <v>62</v>
      </c>
      <c r="G497" s="5">
        <v>45976</v>
      </c>
      <c r="H497" t="str">
        <f t="shared" si="14"/>
        <v>November</v>
      </c>
      <c r="I497" s="5">
        <v>45988</v>
      </c>
      <c r="J497" s="7">
        <f t="shared" si="15"/>
        <v>12</v>
      </c>
      <c r="K497" s="6">
        <v>73284</v>
      </c>
    </row>
    <row r="498" spans="1:11" x14ac:dyDescent="0.3">
      <c r="A498" t="s">
        <v>669</v>
      </c>
      <c r="B498" t="s">
        <v>76</v>
      </c>
      <c r="C498">
        <v>69</v>
      </c>
      <c r="D498" t="s">
        <v>17</v>
      </c>
      <c r="E498" t="s">
        <v>45</v>
      </c>
      <c r="F498" t="s">
        <v>27</v>
      </c>
      <c r="G498" s="5">
        <v>46011</v>
      </c>
      <c r="H498" t="str">
        <f t="shared" si="14"/>
        <v>December</v>
      </c>
      <c r="I498" s="5">
        <v>46024</v>
      </c>
      <c r="J498" s="7">
        <f t="shared" si="15"/>
        <v>13</v>
      </c>
      <c r="K498" s="6">
        <v>114998</v>
      </c>
    </row>
    <row r="499" spans="1:11" x14ac:dyDescent="0.3">
      <c r="A499" t="s">
        <v>670</v>
      </c>
      <c r="B499" t="s">
        <v>47</v>
      </c>
      <c r="C499">
        <v>43</v>
      </c>
      <c r="D499" t="s">
        <v>12</v>
      </c>
      <c r="E499" t="s">
        <v>39</v>
      </c>
      <c r="F499" t="s">
        <v>62</v>
      </c>
      <c r="G499" s="5">
        <v>45895</v>
      </c>
      <c r="H499" t="str">
        <f t="shared" si="14"/>
        <v>August</v>
      </c>
      <c r="I499" s="5">
        <v>45905</v>
      </c>
      <c r="J499" s="7">
        <f t="shared" si="15"/>
        <v>10</v>
      </c>
      <c r="K499" s="6">
        <v>114440</v>
      </c>
    </row>
    <row r="500" spans="1:11" x14ac:dyDescent="0.3">
      <c r="A500" t="s">
        <v>671</v>
      </c>
      <c r="B500" t="s">
        <v>72</v>
      </c>
      <c r="C500">
        <v>26</v>
      </c>
      <c r="D500" t="s">
        <v>12</v>
      </c>
      <c r="E500" t="s">
        <v>22</v>
      </c>
      <c r="F500" t="s">
        <v>34</v>
      </c>
      <c r="G500" s="5">
        <v>45887</v>
      </c>
      <c r="H500" t="str">
        <f t="shared" si="14"/>
        <v>August</v>
      </c>
      <c r="I500" s="5">
        <v>45888</v>
      </c>
      <c r="J500" s="7">
        <f t="shared" si="15"/>
        <v>1</v>
      </c>
      <c r="K500" s="6">
        <v>6054</v>
      </c>
    </row>
    <row r="501" spans="1:11" x14ac:dyDescent="0.3">
      <c r="A501" t="s">
        <v>672</v>
      </c>
      <c r="B501" t="s">
        <v>312</v>
      </c>
      <c r="C501">
        <v>36</v>
      </c>
      <c r="D501" t="s">
        <v>12</v>
      </c>
      <c r="E501" t="s">
        <v>22</v>
      </c>
      <c r="F501" t="s">
        <v>14</v>
      </c>
      <c r="G501" s="5">
        <v>46001</v>
      </c>
      <c r="H501" t="str">
        <f t="shared" si="14"/>
        <v>December</v>
      </c>
      <c r="I501" s="5">
        <v>46010</v>
      </c>
      <c r="J501" s="7">
        <f t="shared" si="15"/>
        <v>9</v>
      </c>
      <c r="K501" s="6">
        <v>87228</v>
      </c>
    </row>
    <row r="502" spans="1:11" x14ac:dyDescent="0.3">
      <c r="A502" t="s">
        <v>673</v>
      </c>
      <c r="B502" t="s">
        <v>366</v>
      </c>
      <c r="C502">
        <v>84</v>
      </c>
      <c r="D502" t="s">
        <v>17</v>
      </c>
      <c r="E502" t="s">
        <v>33</v>
      </c>
      <c r="F502" t="s">
        <v>34</v>
      </c>
      <c r="G502" s="5">
        <v>45705</v>
      </c>
      <c r="H502" t="str">
        <f t="shared" si="14"/>
        <v>February</v>
      </c>
      <c r="I502" s="5">
        <v>45708</v>
      </c>
      <c r="J502" s="7">
        <f t="shared" si="15"/>
        <v>3</v>
      </c>
      <c r="K502" s="6">
        <v>24471</v>
      </c>
    </row>
    <row r="503" spans="1:11" x14ac:dyDescent="0.3">
      <c r="A503" t="s">
        <v>674</v>
      </c>
      <c r="B503" t="s">
        <v>461</v>
      </c>
      <c r="C503">
        <v>54</v>
      </c>
      <c r="D503" t="s">
        <v>12</v>
      </c>
      <c r="E503" t="s">
        <v>48</v>
      </c>
      <c r="F503" t="s">
        <v>14</v>
      </c>
      <c r="G503" s="5">
        <v>45918</v>
      </c>
      <c r="H503" t="str">
        <f t="shared" si="14"/>
        <v>September</v>
      </c>
      <c r="I503" s="5">
        <v>45923</v>
      </c>
      <c r="J503" s="7">
        <f t="shared" si="15"/>
        <v>5</v>
      </c>
      <c r="K503" s="6">
        <v>29255</v>
      </c>
    </row>
    <row r="504" spans="1:11" x14ac:dyDescent="0.3">
      <c r="A504" t="s">
        <v>675</v>
      </c>
      <c r="B504" t="s">
        <v>409</v>
      </c>
      <c r="C504">
        <v>27</v>
      </c>
      <c r="D504" t="s">
        <v>17</v>
      </c>
      <c r="E504" t="s">
        <v>45</v>
      </c>
      <c r="F504" t="s">
        <v>14</v>
      </c>
      <c r="G504" s="5">
        <v>45905</v>
      </c>
      <c r="H504" t="str">
        <f t="shared" si="14"/>
        <v>September</v>
      </c>
      <c r="I504" s="5">
        <v>45915</v>
      </c>
      <c r="J504" s="7">
        <f t="shared" si="15"/>
        <v>10</v>
      </c>
      <c r="K504" s="6">
        <v>81910</v>
      </c>
    </row>
    <row r="505" spans="1:11" x14ac:dyDescent="0.3">
      <c r="A505" t="s">
        <v>676</v>
      </c>
      <c r="B505" t="s">
        <v>211</v>
      </c>
      <c r="C505">
        <v>36</v>
      </c>
      <c r="D505" t="s">
        <v>17</v>
      </c>
      <c r="E505" t="s">
        <v>39</v>
      </c>
      <c r="F505" t="s">
        <v>59</v>
      </c>
      <c r="G505" s="5">
        <v>45914</v>
      </c>
      <c r="H505" t="str">
        <f t="shared" si="14"/>
        <v>September</v>
      </c>
      <c r="I505" s="5">
        <v>45927</v>
      </c>
      <c r="J505" s="7">
        <f t="shared" si="15"/>
        <v>13</v>
      </c>
      <c r="K505" s="6">
        <v>84539</v>
      </c>
    </row>
    <row r="506" spans="1:11" x14ac:dyDescent="0.3">
      <c r="A506" t="s">
        <v>677</v>
      </c>
      <c r="B506" t="s">
        <v>32</v>
      </c>
      <c r="C506">
        <v>42</v>
      </c>
      <c r="D506" t="s">
        <v>12</v>
      </c>
      <c r="E506" t="s">
        <v>30</v>
      </c>
      <c r="F506" t="s">
        <v>19</v>
      </c>
      <c r="G506" s="5">
        <v>45957</v>
      </c>
      <c r="H506" t="str">
        <f t="shared" si="14"/>
        <v>October</v>
      </c>
      <c r="I506" s="5">
        <v>45965</v>
      </c>
      <c r="J506" s="7">
        <f t="shared" si="15"/>
        <v>8</v>
      </c>
      <c r="K506" s="6">
        <v>66864</v>
      </c>
    </row>
    <row r="507" spans="1:11" x14ac:dyDescent="0.3">
      <c r="A507" t="s">
        <v>678</v>
      </c>
      <c r="B507" t="s">
        <v>146</v>
      </c>
      <c r="C507">
        <v>16</v>
      </c>
      <c r="D507" t="s">
        <v>17</v>
      </c>
      <c r="E507" t="s">
        <v>26</v>
      </c>
      <c r="F507" t="s">
        <v>34</v>
      </c>
      <c r="G507" s="5">
        <v>45846</v>
      </c>
      <c r="H507" t="str">
        <f t="shared" si="14"/>
        <v>July</v>
      </c>
      <c r="I507" s="5">
        <v>45854</v>
      </c>
      <c r="J507" s="7">
        <f t="shared" si="15"/>
        <v>8</v>
      </c>
      <c r="K507" s="6">
        <v>56328</v>
      </c>
    </row>
    <row r="508" spans="1:11" x14ac:dyDescent="0.3">
      <c r="A508" t="s">
        <v>679</v>
      </c>
      <c r="B508" t="s">
        <v>211</v>
      </c>
      <c r="C508">
        <v>41</v>
      </c>
      <c r="D508" t="s">
        <v>17</v>
      </c>
      <c r="E508" t="s">
        <v>13</v>
      </c>
      <c r="F508" t="s">
        <v>34</v>
      </c>
      <c r="G508" s="5">
        <v>46018</v>
      </c>
      <c r="H508" t="str">
        <f t="shared" si="14"/>
        <v>December</v>
      </c>
      <c r="I508" s="5">
        <v>46019</v>
      </c>
      <c r="J508" s="7">
        <f t="shared" si="15"/>
        <v>1</v>
      </c>
      <c r="K508" s="6">
        <v>11144</v>
      </c>
    </row>
    <row r="509" spans="1:11" x14ac:dyDescent="0.3">
      <c r="A509" t="s">
        <v>680</v>
      </c>
      <c r="B509" t="s">
        <v>89</v>
      </c>
      <c r="C509">
        <v>90</v>
      </c>
      <c r="D509" t="s">
        <v>12</v>
      </c>
      <c r="E509" t="s">
        <v>22</v>
      </c>
      <c r="F509" t="s">
        <v>34</v>
      </c>
      <c r="G509" s="5">
        <v>45954</v>
      </c>
      <c r="H509" t="str">
        <f t="shared" si="14"/>
        <v>October</v>
      </c>
      <c r="I509" s="5">
        <v>45959</v>
      </c>
      <c r="J509" s="7">
        <f t="shared" si="15"/>
        <v>5</v>
      </c>
      <c r="K509" s="6">
        <v>47025</v>
      </c>
    </row>
    <row r="510" spans="1:11" x14ac:dyDescent="0.3">
      <c r="A510" t="s">
        <v>681</v>
      </c>
      <c r="B510" t="s">
        <v>682</v>
      </c>
      <c r="C510">
        <v>68</v>
      </c>
      <c r="D510" t="s">
        <v>12</v>
      </c>
      <c r="E510" t="s">
        <v>30</v>
      </c>
      <c r="F510" t="s">
        <v>42</v>
      </c>
      <c r="G510" s="5">
        <v>45730</v>
      </c>
      <c r="H510" t="str">
        <f t="shared" si="14"/>
        <v>March</v>
      </c>
      <c r="I510" s="5">
        <v>45735</v>
      </c>
      <c r="J510" s="7">
        <f t="shared" si="15"/>
        <v>5</v>
      </c>
      <c r="K510" s="6">
        <v>46510</v>
      </c>
    </row>
    <row r="511" spans="1:11" x14ac:dyDescent="0.3">
      <c r="A511" t="s">
        <v>683</v>
      </c>
      <c r="B511" t="s">
        <v>217</v>
      </c>
      <c r="C511">
        <v>78</v>
      </c>
      <c r="D511" t="s">
        <v>17</v>
      </c>
      <c r="E511" t="s">
        <v>13</v>
      </c>
      <c r="F511" t="s">
        <v>27</v>
      </c>
      <c r="G511" s="5">
        <v>45739</v>
      </c>
      <c r="H511" t="str">
        <f t="shared" si="14"/>
        <v>March</v>
      </c>
      <c r="I511" s="5">
        <v>45748</v>
      </c>
      <c r="J511" s="7">
        <f t="shared" si="15"/>
        <v>9</v>
      </c>
      <c r="K511" s="6">
        <v>64926</v>
      </c>
    </row>
    <row r="512" spans="1:11" x14ac:dyDescent="0.3">
      <c r="A512" t="s">
        <v>684</v>
      </c>
      <c r="B512" t="s">
        <v>112</v>
      </c>
      <c r="C512">
        <v>62</v>
      </c>
      <c r="D512" t="s">
        <v>17</v>
      </c>
      <c r="E512" t="s">
        <v>30</v>
      </c>
      <c r="F512" t="s">
        <v>59</v>
      </c>
      <c r="G512" s="5">
        <v>46002</v>
      </c>
      <c r="H512" t="str">
        <f t="shared" si="14"/>
        <v>December</v>
      </c>
      <c r="I512" s="5">
        <v>46012</v>
      </c>
      <c r="J512" s="7">
        <f t="shared" si="15"/>
        <v>10</v>
      </c>
      <c r="K512" s="6">
        <v>49270</v>
      </c>
    </row>
    <row r="513" spans="1:11" x14ac:dyDescent="0.3">
      <c r="A513" t="s">
        <v>685</v>
      </c>
      <c r="B513" t="s">
        <v>168</v>
      </c>
      <c r="C513">
        <v>88</v>
      </c>
      <c r="D513" t="s">
        <v>17</v>
      </c>
      <c r="E513" t="s">
        <v>30</v>
      </c>
      <c r="F513" t="s">
        <v>59</v>
      </c>
      <c r="G513" s="5">
        <v>45809</v>
      </c>
      <c r="H513" t="str">
        <f t="shared" si="14"/>
        <v>June</v>
      </c>
      <c r="I513" s="5">
        <v>45824</v>
      </c>
      <c r="J513" s="7">
        <f t="shared" si="15"/>
        <v>15</v>
      </c>
      <c r="K513" s="6">
        <v>79035</v>
      </c>
    </row>
    <row r="514" spans="1:11" x14ac:dyDescent="0.3">
      <c r="A514" t="s">
        <v>686</v>
      </c>
      <c r="B514" t="s">
        <v>123</v>
      </c>
      <c r="C514">
        <v>41</v>
      </c>
      <c r="D514" t="s">
        <v>12</v>
      </c>
      <c r="E514" t="s">
        <v>13</v>
      </c>
      <c r="F514" t="s">
        <v>59</v>
      </c>
      <c r="G514" s="5">
        <v>45703</v>
      </c>
      <c r="H514" t="str">
        <f t="shared" ref="H514:H577" si="16">TEXT(G514,"mmmm")</f>
        <v>February</v>
      </c>
      <c r="I514" s="5">
        <v>45715</v>
      </c>
      <c r="J514" s="7">
        <f t="shared" si="15"/>
        <v>12</v>
      </c>
      <c r="K514" s="6">
        <v>99444</v>
      </c>
    </row>
    <row r="515" spans="1:11" x14ac:dyDescent="0.3">
      <c r="A515" t="s">
        <v>687</v>
      </c>
      <c r="B515" t="s">
        <v>231</v>
      </c>
      <c r="C515">
        <v>90</v>
      </c>
      <c r="D515" t="s">
        <v>12</v>
      </c>
      <c r="E515" t="s">
        <v>102</v>
      </c>
      <c r="F515" t="s">
        <v>62</v>
      </c>
      <c r="G515" s="5">
        <v>45929</v>
      </c>
      <c r="H515" t="str">
        <f t="shared" si="16"/>
        <v>September</v>
      </c>
      <c r="I515" s="5">
        <v>45934</v>
      </c>
      <c r="J515" s="7">
        <f t="shared" ref="J515:J578" si="17">I515-G515</f>
        <v>5</v>
      </c>
      <c r="K515" s="6">
        <v>56180</v>
      </c>
    </row>
    <row r="516" spans="1:11" x14ac:dyDescent="0.3">
      <c r="A516" t="s">
        <v>688</v>
      </c>
      <c r="B516" t="s">
        <v>89</v>
      </c>
      <c r="C516">
        <v>26</v>
      </c>
      <c r="D516" t="s">
        <v>17</v>
      </c>
      <c r="E516" t="s">
        <v>45</v>
      </c>
      <c r="F516" t="s">
        <v>14</v>
      </c>
      <c r="G516" s="5">
        <v>45971</v>
      </c>
      <c r="H516" t="str">
        <f t="shared" si="16"/>
        <v>November</v>
      </c>
      <c r="I516" s="5">
        <v>45983</v>
      </c>
      <c r="J516" s="7">
        <f t="shared" si="17"/>
        <v>12</v>
      </c>
      <c r="K516" s="6">
        <v>119316</v>
      </c>
    </row>
    <row r="517" spans="1:11" x14ac:dyDescent="0.3">
      <c r="A517" t="s">
        <v>689</v>
      </c>
      <c r="B517" t="s">
        <v>690</v>
      </c>
      <c r="C517">
        <v>44</v>
      </c>
      <c r="D517" t="s">
        <v>12</v>
      </c>
      <c r="E517" t="s">
        <v>48</v>
      </c>
      <c r="F517" t="s">
        <v>27</v>
      </c>
      <c r="G517" s="5">
        <v>45675</v>
      </c>
      <c r="H517" t="str">
        <f t="shared" si="16"/>
        <v>January</v>
      </c>
      <c r="I517" s="5">
        <v>45683</v>
      </c>
      <c r="J517" s="7">
        <f t="shared" si="17"/>
        <v>8</v>
      </c>
      <c r="K517" s="6">
        <v>69368</v>
      </c>
    </row>
    <row r="518" spans="1:11" x14ac:dyDescent="0.3">
      <c r="A518" t="s">
        <v>691</v>
      </c>
      <c r="B518" t="s">
        <v>148</v>
      </c>
      <c r="C518">
        <v>36</v>
      </c>
      <c r="D518" t="s">
        <v>17</v>
      </c>
      <c r="E518" t="s">
        <v>102</v>
      </c>
      <c r="F518" t="s">
        <v>42</v>
      </c>
      <c r="G518" s="5">
        <v>45921</v>
      </c>
      <c r="H518" t="str">
        <f t="shared" si="16"/>
        <v>September</v>
      </c>
      <c r="I518" s="5">
        <v>45927</v>
      </c>
      <c r="J518" s="7">
        <f t="shared" si="17"/>
        <v>6</v>
      </c>
      <c r="K518" s="6">
        <v>50142</v>
      </c>
    </row>
    <row r="519" spans="1:11" x14ac:dyDescent="0.3">
      <c r="A519" t="s">
        <v>692</v>
      </c>
      <c r="B519" t="s">
        <v>91</v>
      </c>
      <c r="C519">
        <v>57</v>
      </c>
      <c r="D519" t="s">
        <v>12</v>
      </c>
      <c r="E519" t="s">
        <v>13</v>
      </c>
      <c r="F519" t="s">
        <v>34</v>
      </c>
      <c r="G519" s="5">
        <v>45856</v>
      </c>
      <c r="H519" t="str">
        <f t="shared" si="16"/>
        <v>July</v>
      </c>
      <c r="I519" s="5">
        <v>45857</v>
      </c>
      <c r="J519" s="7">
        <f t="shared" si="17"/>
        <v>1</v>
      </c>
      <c r="K519" s="6">
        <v>4497</v>
      </c>
    </row>
    <row r="520" spans="1:11" x14ac:dyDescent="0.3">
      <c r="A520" t="s">
        <v>693</v>
      </c>
      <c r="B520" t="s">
        <v>100</v>
      </c>
      <c r="C520">
        <v>43</v>
      </c>
      <c r="D520" t="s">
        <v>12</v>
      </c>
      <c r="E520" t="s">
        <v>102</v>
      </c>
      <c r="F520" t="s">
        <v>27</v>
      </c>
      <c r="G520" s="5">
        <v>45987</v>
      </c>
      <c r="H520" t="str">
        <f t="shared" si="16"/>
        <v>November</v>
      </c>
      <c r="I520" s="5">
        <v>46002</v>
      </c>
      <c r="J520" s="7">
        <f t="shared" si="17"/>
        <v>15</v>
      </c>
      <c r="K520" s="6">
        <v>115590</v>
      </c>
    </row>
    <row r="521" spans="1:11" x14ac:dyDescent="0.3">
      <c r="A521" t="s">
        <v>694</v>
      </c>
      <c r="B521" t="s">
        <v>89</v>
      </c>
      <c r="C521">
        <v>61</v>
      </c>
      <c r="D521" t="s">
        <v>17</v>
      </c>
      <c r="E521" t="s">
        <v>18</v>
      </c>
      <c r="F521" t="s">
        <v>59</v>
      </c>
      <c r="G521" s="5">
        <v>46015</v>
      </c>
      <c r="H521" t="str">
        <f t="shared" si="16"/>
        <v>December</v>
      </c>
      <c r="I521" s="5">
        <v>46026</v>
      </c>
      <c r="J521" s="7">
        <f t="shared" si="17"/>
        <v>11</v>
      </c>
      <c r="K521" s="6">
        <v>90563</v>
      </c>
    </row>
    <row r="522" spans="1:11" x14ac:dyDescent="0.3">
      <c r="A522" t="s">
        <v>695</v>
      </c>
      <c r="B522" t="s">
        <v>267</v>
      </c>
      <c r="C522">
        <v>66</v>
      </c>
      <c r="D522" t="s">
        <v>17</v>
      </c>
      <c r="E522" t="s">
        <v>18</v>
      </c>
      <c r="F522" t="s">
        <v>34</v>
      </c>
      <c r="G522" s="5">
        <v>45678</v>
      </c>
      <c r="H522" t="str">
        <f t="shared" si="16"/>
        <v>January</v>
      </c>
      <c r="I522" s="5">
        <v>45685</v>
      </c>
      <c r="J522" s="7">
        <f t="shared" si="17"/>
        <v>7</v>
      </c>
      <c r="K522" s="6">
        <v>38276</v>
      </c>
    </row>
    <row r="523" spans="1:11" x14ac:dyDescent="0.3">
      <c r="A523" t="s">
        <v>696</v>
      </c>
      <c r="B523" t="s">
        <v>394</v>
      </c>
      <c r="C523">
        <v>41</v>
      </c>
      <c r="D523" t="s">
        <v>12</v>
      </c>
      <c r="E523" t="s">
        <v>45</v>
      </c>
      <c r="F523" t="s">
        <v>27</v>
      </c>
      <c r="G523" s="5">
        <v>45686</v>
      </c>
      <c r="H523" t="str">
        <f t="shared" si="16"/>
        <v>January</v>
      </c>
      <c r="I523" s="5">
        <v>45688</v>
      </c>
      <c r="J523" s="7">
        <f t="shared" si="17"/>
        <v>2</v>
      </c>
      <c r="K523" s="6">
        <v>18364</v>
      </c>
    </row>
    <row r="524" spans="1:11" x14ac:dyDescent="0.3">
      <c r="A524" t="s">
        <v>697</v>
      </c>
      <c r="B524" t="s">
        <v>151</v>
      </c>
      <c r="C524">
        <v>40</v>
      </c>
      <c r="D524" t="s">
        <v>12</v>
      </c>
      <c r="E524" t="s">
        <v>45</v>
      </c>
      <c r="F524" t="s">
        <v>42</v>
      </c>
      <c r="G524" s="5">
        <v>45837</v>
      </c>
      <c r="H524" t="str">
        <f t="shared" si="16"/>
        <v>June</v>
      </c>
      <c r="I524" s="5">
        <v>45850</v>
      </c>
      <c r="J524" s="7">
        <f t="shared" si="17"/>
        <v>13</v>
      </c>
      <c r="K524" s="6">
        <v>153179</v>
      </c>
    </row>
    <row r="525" spans="1:11" x14ac:dyDescent="0.3">
      <c r="A525" t="s">
        <v>698</v>
      </c>
      <c r="B525" t="s">
        <v>123</v>
      </c>
      <c r="C525">
        <v>35</v>
      </c>
      <c r="D525" t="s">
        <v>12</v>
      </c>
      <c r="E525" t="s">
        <v>30</v>
      </c>
      <c r="F525" t="s">
        <v>59</v>
      </c>
      <c r="G525" s="5">
        <v>45983</v>
      </c>
      <c r="H525" t="str">
        <f t="shared" si="16"/>
        <v>November</v>
      </c>
      <c r="I525" s="5">
        <v>45992</v>
      </c>
      <c r="J525" s="7">
        <f t="shared" si="17"/>
        <v>9</v>
      </c>
      <c r="K525" s="6">
        <v>83340</v>
      </c>
    </row>
    <row r="526" spans="1:11" x14ac:dyDescent="0.3">
      <c r="A526" t="s">
        <v>699</v>
      </c>
      <c r="B526" t="s">
        <v>207</v>
      </c>
      <c r="C526">
        <v>49</v>
      </c>
      <c r="D526" t="s">
        <v>12</v>
      </c>
      <c r="E526" t="s">
        <v>48</v>
      </c>
      <c r="F526" t="s">
        <v>14</v>
      </c>
      <c r="G526" s="5">
        <v>45715</v>
      </c>
      <c r="H526" t="str">
        <f t="shared" si="16"/>
        <v>February</v>
      </c>
      <c r="I526" s="5">
        <v>45721</v>
      </c>
      <c r="J526" s="7">
        <f t="shared" si="17"/>
        <v>6</v>
      </c>
      <c r="K526" s="6">
        <v>57120</v>
      </c>
    </row>
    <row r="527" spans="1:11" x14ac:dyDescent="0.3">
      <c r="A527" t="s">
        <v>700</v>
      </c>
      <c r="B527" t="s">
        <v>471</v>
      </c>
      <c r="C527">
        <v>43</v>
      </c>
      <c r="D527" t="s">
        <v>12</v>
      </c>
      <c r="E527" t="s">
        <v>39</v>
      </c>
      <c r="F527" t="s">
        <v>19</v>
      </c>
      <c r="G527" s="5">
        <v>45705</v>
      </c>
      <c r="H527" t="str">
        <f t="shared" si="16"/>
        <v>February</v>
      </c>
      <c r="I527" s="5">
        <v>45714</v>
      </c>
      <c r="J527" s="7">
        <f t="shared" si="17"/>
        <v>9</v>
      </c>
      <c r="K527" s="6">
        <v>78777</v>
      </c>
    </row>
    <row r="528" spans="1:11" x14ac:dyDescent="0.3">
      <c r="A528" t="s">
        <v>701</v>
      </c>
      <c r="B528" t="s">
        <v>435</v>
      </c>
      <c r="C528">
        <v>64</v>
      </c>
      <c r="D528" t="s">
        <v>17</v>
      </c>
      <c r="E528" t="s">
        <v>48</v>
      </c>
      <c r="F528" t="s">
        <v>62</v>
      </c>
      <c r="G528" s="5">
        <v>45859</v>
      </c>
      <c r="H528" t="str">
        <f t="shared" si="16"/>
        <v>July</v>
      </c>
      <c r="I528" s="5">
        <v>45861</v>
      </c>
      <c r="J528" s="7">
        <f t="shared" si="17"/>
        <v>2</v>
      </c>
      <c r="K528" s="6">
        <v>10104</v>
      </c>
    </row>
    <row r="529" spans="1:11" x14ac:dyDescent="0.3">
      <c r="A529" t="s">
        <v>702</v>
      </c>
      <c r="B529" t="s">
        <v>139</v>
      </c>
      <c r="C529">
        <v>72</v>
      </c>
      <c r="D529" t="s">
        <v>12</v>
      </c>
      <c r="E529" t="s">
        <v>13</v>
      </c>
      <c r="F529" t="s">
        <v>23</v>
      </c>
      <c r="G529" s="5">
        <v>45668</v>
      </c>
      <c r="H529" t="str">
        <f t="shared" si="16"/>
        <v>January</v>
      </c>
      <c r="I529" s="5">
        <v>45682</v>
      </c>
      <c r="J529" s="7">
        <f t="shared" si="17"/>
        <v>14</v>
      </c>
      <c r="K529" s="6">
        <v>158186</v>
      </c>
    </row>
    <row r="530" spans="1:11" x14ac:dyDescent="0.3">
      <c r="A530" t="s">
        <v>703</v>
      </c>
      <c r="B530" t="s">
        <v>21</v>
      </c>
      <c r="C530">
        <v>21</v>
      </c>
      <c r="D530" t="s">
        <v>12</v>
      </c>
      <c r="E530" t="s">
        <v>33</v>
      </c>
      <c r="F530" t="s">
        <v>62</v>
      </c>
      <c r="G530" s="5">
        <v>45818</v>
      </c>
      <c r="H530" t="str">
        <f t="shared" si="16"/>
        <v>June</v>
      </c>
      <c r="I530" s="5">
        <v>45827</v>
      </c>
      <c r="J530" s="7">
        <f t="shared" si="17"/>
        <v>9</v>
      </c>
      <c r="K530" s="6">
        <v>78210</v>
      </c>
    </row>
    <row r="531" spans="1:11" x14ac:dyDescent="0.3">
      <c r="A531" t="s">
        <v>704</v>
      </c>
      <c r="B531" t="s">
        <v>32</v>
      </c>
      <c r="C531">
        <v>45</v>
      </c>
      <c r="D531" t="s">
        <v>12</v>
      </c>
      <c r="E531" t="s">
        <v>102</v>
      </c>
      <c r="F531" t="s">
        <v>19</v>
      </c>
      <c r="G531" s="5">
        <v>45744</v>
      </c>
      <c r="H531" t="str">
        <f t="shared" si="16"/>
        <v>March</v>
      </c>
      <c r="I531" s="5">
        <v>45754</v>
      </c>
      <c r="J531" s="7">
        <f t="shared" si="17"/>
        <v>10</v>
      </c>
      <c r="K531" s="6">
        <v>96320</v>
      </c>
    </row>
    <row r="532" spans="1:11" x14ac:dyDescent="0.3">
      <c r="A532" t="s">
        <v>705</v>
      </c>
      <c r="B532" t="s">
        <v>361</v>
      </c>
      <c r="C532">
        <v>87</v>
      </c>
      <c r="D532" t="s">
        <v>12</v>
      </c>
      <c r="E532" t="s">
        <v>22</v>
      </c>
      <c r="F532" t="s">
        <v>34</v>
      </c>
      <c r="G532" s="5">
        <v>45830</v>
      </c>
      <c r="H532" t="str">
        <f t="shared" si="16"/>
        <v>June</v>
      </c>
      <c r="I532" s="5">
        <v>45841</v>
      </c>
      <c r="J532" s="7">
        <f t="shared" si="17"/>
        <v>11</v>
      </c>
      <c r="K532" s="6">
        <v>52228</v>
      </c>
    </row>
    <row r="533" spans="1:11" x14ac:dyDescent="0.3">
      <c r="A533" t="s">
        <v>706</v>
      </c>
      <c r="B533" t="s">
        <v>66</v>
      </c>
      <c r="C533">
        <v>12</v>
      </c>
      <c r="D533" t="s">
        <v>17</v>
      </c>
      <c r="E533" t="s">
        <v>45</v>
      </c>
      <c r="F533" t="s">
        <v>42</v>
      </c>
      <c r="G533" s="5">
        <v>45898</v>
      </c>
      <c r="H533" t="str">
        <f t="shared" si="16"/>
        <v>August</v>
      </c>
      <c r="I533" s="5">
        <v>45905</v>
      </c>
      <c r="J533" s="7">
        <f t="shared" si="17"/>
        <v>7</v>
      </c>
      <c r="K533" s="6">
        <v>70182</v>
      </c>
    </row>
    <row r="534" spans="1:11" x14ac:dyDescent="0.3">
      <c r="A534" t="s">
        <v>707</v>
      </c>
      <c r="B534" t="s">
        <v>267</v>
      </c>
      <c r="C534">
        <v>73</v>
      </c>
      <c r="D534" t="s">
        <v>17</v>
      </c>
      <c r="E534" t="s">
        <v>48</v>
      </c>
      <c r="F534" t="s">
        <v>14</v>
      </c>
      <c r="G534" s="5">
        <v>45787</v>
      </c>
      <c r="H534" t="str">
        <f t="shared" si="16"/>
        <v>May</v>
      </c>
      <c r="I534" s="5">
        <v>45795</v>
      </c>
      <c r="J534" s="7">
        <f t="shared" si="17"/>
        <v>8</v>
      </c>
      <c r="K534" s="6">
        <v>70208</v>
      </c>
    </row>
    <row r="535" spans="1:11" x14ac:dyDescent="0.3">
      <c r="A535" t="s">
        <v>708</v>
      </c>
      <c r="B535" t="s">
        <v>47</v>
      </c>
      <c r="C535">
        <v>35</v>
      </c>
      <c r="D535" t="s">
        <v>17</v>
      </c>
      <c r="E535" t="s">
        <v>48</v>
      </c>
      <c r="F535" t="s">
        <v>14</v>
      </c>
      <c r="G535" s="5">
        <v>45906</v>
      </c>
      <c r="H535" t="str">
        <f t="shared" si="16"/>
        <v>September</v>
      </c>
      <c r="I535" s="5">
        <v>45913</v>
      </c>
      <c r="J535" s="7">
        <f t="shared" si="17"/>
        <v>7</v>
      </c>
      <c r="K535" s="6">
        <v>45549</v>
      </c>
    </row>
    <row r="536" spans="1:11" x14ac:dyDescent="0.3">
      <c r="A536" t="s">
        <v>709</v>
      </c>
      <c r="B536" t="s">
        <v>162</v>
      </c>
      <c r="C536">
        <v>30</v>
      </c>
      <c r="D536" t="s">
        <v>12</v>
      </c>
      <c r="E536" t="s">
        <v>18</v>
      </c>
      <c r="F536" t="s">
        <v>42</v>
      </c>
      <c r="G536" s="5">
        <v>45681</v>
      </c>
      <c r="H536" t="str">
        <f t="shared" si="16"/>
        <v>January</v>
      </c>
      <c r="I536" s="5">
        <v>45692</v>
      </c>
      <c r="J536" s="7">
        <f t="shared" si="17"/>
        <v>11</v>
      </c>
      <c r="K536" s="6">
        <v>122815</v>
      </c>
    </row>
    <row r="537" spans="1:11" x14ac:dyDescent="0.3">
      <c r="A537" t="s">
        <v>710</v>
      </c>
      <c r="B537" t="s">
        <v>464</v>
      </c>
      <c r="C537">
        <v>78</v>
      </c>
      <c r="D537" t="s">
        <v>17</v>
      </c>
      <c r="E537" t="s">
        <v>26</v>
      </c>
      <c r="F537" t="s">
        <v>27</v>
      </c>
      <c r="G537" s="5">
        <v>45802</v>
      </c>
      <c r="H537" t="str">
        <f t="shared" si="16"/>
        <v>May</v>
      </c>
      <c r="I537" s="5">
        <v>45809</v>
      </c>
      <c r="J537" s="7">
        <f t="shared" si="17"/>
        <v>7</v>
      </c>
      <c r="K537" s="6">
        <v>67228</v>
      </c>
    </row>
    <row r="538" spans="1:11" x14ac:dyDescent="0.3">
      <c r="A538" t="s">
        <v>711</v>
      </c>
      <c r="B538" t="s">
        <v>712</v>
      </c>
      <c r="C538">
        <v>87</v>
      </c>
      <c r="D538" t="s">
        <v>17</v>
      </c>
      <c r="E538" t="s">
        <v>33</v>
      </c>
      <c r="F538" t="s">
        <v>19</v>
      </c>
      <c r="G538" s="5">
        <v>45688</v>
      </c>
      <c r="H538" t="str">
        <f t="shared" si="16"/>
        <v>January</v>
      </c>
      <c r="I538" s="5">
        <v>45701</v>
      </c>
      <c r="J538" s="7">
        <f t="shared" si="17"/>
        <v>13</v>
      </c>
      <c r="K538" s="6">
        <v>127686</v>
      </c>
    </row>
    <row r="539" spans="1:11" x14ac:dyDescent="0.3">
      <c r="A539" t="s">
        <v>713</v>
      </c>
      <c r="B539" t="s">
        <v>93</v>
      </c>
      <c r="C539">
        <v>47</v>
      </c>
      <c r="D539" t="s">
        <v>12</v>
      </c>
      <c r="E539" t="s">
        <v>30</v>
      </c>
      <c r="F539" t="s">
        <v>14</v>
      </c>
      <c r="G539" s="5">
        <v>45686</v>
      </c>
      <c r="H539" t="str">
        <f t="shared" si="16"/>
        <v>January</v>
      </c>
      <c r="I539" s="5">
        <v>45695</v>
      </c>
      <c r="J539" s="7">
        <f t="shared" si="17"/>
        <v>9</v>
      </c>
      <c r="K539" s="6">
        <v>69417</v>
      </c>
    </row>
    <row r="540" spans="1:11" x14ac:dyDescent="0.3">
      <c r="A540" t="s">
        <v>714</v>
      </c>
      <c r="B540" t="s">
        <v>481</v>
      </c>
      <c r="C540">
        <v>51</v>
      </c>
      <c r="D540" t="s">
        <v>12</v>
      </c>
      <c r="E540" t="s">
        <v>102</v>
      </c>
      <c r="F540" t="s">
        <v>27</v>
      </c>
      <c r="G540" s="5">
        <v>46013</v>
      </c>
      <c r="H540" t="str">
        <f t="shared" si="16"/>
        <v>December</v>
      </c>
      <c r="I540" s="5">
        <v>46020</v>
      </c>
      <c r="J540" s="7">
        <f t="shared" si="17"/>
        <v>7</v>
      </c>
      <c r="K540" s="6">
        <v>42833</v>
      </c>
    </row>
    <row r="541" spans="1:11" x14ac:dyDescent="0.3">
      <c r="A541" t="s">
        <v>715</v>
      </c>
      <c r="B541" t="s">
        <v>181</v>
      </c>
      <c r="C541">
        <v>45</v>
      </c>
      <c r="D541" t="s">
        <v>17</v>
      </c>
      <c r="E541" t="s">
        <v>18</v>
      </c>
      <c r="F541" t="s">
        <v>23</v>
      </c>
      <c r="G541" s="5">
        <v>45756</v>
      </c>
      <c r="H541" t="str">
        <f t="shared" si="16"/>
        <v>April</v>
      </c>
      <c r="I541" s="5">
        <v>45760</v>
      </c>
      <c r="J541" s="7">
        <f t="shared" si="17"/>
        <v>4</v>
      </c>
      <c r="K541" s="6">
        <v>33140</v>
      </c>
    </row>
    <row r="542" spans="1:11" x14ac:dyDescent="0.3">
      <c r="A542" t="s">
        <v>716</v>
      </c>
      <c r="B542" t="s">
        <v>397</v>
      </c>
      <c r="C542">
        <v>90</v>
      </c>
      <c r="D542" t="s">
        <v>17</v>
      </c>
      <c r="E542" t="s">
        <v>26</v>
      </c>
      <c r="F542" t="s">
        <v>19</v>
      </c>
      <c r="G542" s="5">
        <v>45704</v>
      </c>
      <c r="H542" t="str">
        <f t="shared" si="16"/>
        <v>February</v>
      </c>
      <c r="I542" s="5">
        <v>45713</v>
      </c>
      <c r="J542" s="7">
        <f t="shared" si="17"/>
        <v>9</v>
      </c>
      <c r="K542" s="6">
        <v>83871</v>
      </c>
    </row>
    <row r="543" spans="1:11" x14ac:dyDescent="0.3">
      <c r="A543" t="s">
        <v>717</v>
      </c>
      <c r="B543" t="s">
        <v>301</v>
      </c>
      <c r="C543">
        <v>65</v>
      </c>
      <c r="D543" t="s">
        <v>12</v>
      </c>
      <c r="E543" t="s">
        <v>33</v>
      </c>
      <c r="F543" t="s">
        <v>19</v>
      </c>
      <c r="G543" s="5">
        <v>45856</v>
      </c>
      <c r="H543" t="str">
        <f t="shared" si="16"/>
        <v>July</v>
      </c>
      <c r="I543" s="5">
        <v>45866</v>
      </c>
      <c r="J543" s="7">
        <f t="shared" si="17"/>
        <v>10</v>
      </c>
      <c r="K543" s="6">
        <v>76440</v>
      </c>
    </row>
    <row r="544" spans="1:11" x14ac:dyDescent="0.3">
      <c r="A544" t="s">
        <v>718</v>
      </c>
      <c r="B544" t="s">
        <v>158</v>
      </c>
      <c r="C544">
        <v>18</v>
      </c>
      <c r="D544" t="s">
        <v>12</v>
      </c>
      <c r="E544" t="s">
        <v>30</v>
      </c>
      <c r="F544" t="s">
        <v>27</v>
      </c>
      <c r="G544" s="5">
        <v>45987</v>
      </c>
      <c r="H544" t="str">
        <f t="shared" si="16"/>
        <v>November</v>
      </c>
      <c r="I544" s="5">
        <v>45988</v>
      </c>
      <c r="J544" s="7">
        <f t="shared" si="17"/>
        <v>1</v>
      </c>
      <c r="K544" s="6">
        <v>9170</v>
      </c>
    </row>
    <row r="545" spans="1:11" x14ac:dyDescent="0.3">
      <c r="A545" t="s">
        <v>719</v>
      </c>
      <c r="B545" t="s">
        <v>123</v>
      </c>
      <c r="C545">
        <v>33</v>
      </c>
      <c r="D545" t="s">
        <v>17</v>
      </c>
      <c r="E545" t="s">
        <v>22</v>
      </c>
      <c r="F545" t="s">
        <v>19</v>
      </c>
      <c r="G545" s="5">
        <v>45703</v>
      </c>
      <c r="H545" t="str">
        <f t="shared" si="16"/>
        <v>February</v>
      </c>
      <c r="I545" s="5">
        <v>45706</v>
      </c>
      <c r="J545" s="7">
        <f t="shared" si="17"/>
        <v>3</v>
      </c>
      <c r="K545" s="6">
        <v>33321</v>
      </c>
    </row>
    <row r="546" spans="1:11" x14ac:dyDescent="0.3">
      <c r="A546" t="s">
        <v>720</v>
      </c>
      <c r="B546" t="s">
        <v>207</v>
      </c>
      <c r="C546">
        <v>76</v>
      </c>
      <c r="D546" t="s">
        <v>12</v>
      </c>
      <c r="E546" t="s">
        <v>102</v>
      </c>
      <c r="F546" t="s">
        <v>27</v>
      </c>
      <c r="G546" s="5">
        <v>45751</v>
      </c>
      <c r="H546" t="str">
        <f t="shared" si="16"/>
        <v>April</v>
      </c>
      <c r="I546" s="5">
        <v>45758</v>
      </c>
      <c r="J546" s="7">
        <f t="shared" si="17"/>
        <v>7</v>
      </c>
      <c r="K546" s="6">
        <v>51142</v>
      </c>
    </row>
    <row r="547" spans="1:11" x14ac:dyDescent="0.3">
      <c r="A547" t="s">
        <v>721</v>
      </c>
      <c r="B547" t="s">
        <v>682</v>
      </c>
      <c r="C547">
        <v>3</v>
      </c>
      <c r="D547" t="s">
        <v>12</v>
      </c>
      <c r="E547" t="s">
        <v>39</v>
      </c>
      <c r="F547" t="s">
        <v>62</v>
      </c>
      <c r="G547" s="5">
        <v>46006</v>
      </c>
      <c r="H547" t="str">
        <f t="shared" si="16"/>
        <v>December</v>
      </c>
      <c r="I547" s="5">
        <v>46008</v>
      </c>
      <c r="J547" s="7">
        <f t="shared" si="17"/>
        <v>2</v>
      </c>
      <c r="K547" s="6">
        <v>18772</v>
      </c>
    </row>
    <row r="548" spans="1:11" x14ac:dyDescent="0.3">
      <c r="A548" t="s">
        <v>722</v>
      </c>
      <c r="B548" t="s">
        <v>217</v>
      </c>
      <c r="C548">
        <v>18</v>
      </c>
      <c r="D548" t="s">
        <v>12</v>
      </c>
      <c r="E548" t="s">
        <v>48</v>
      </c>
      <c r="F548" t="s">
        <v>19</v>
      </c>
      <c r="G548" s="5">
        <v>45804</v>
      </c>
      <c r="H548" t="str">
        <f t="shared" si="16"/>
        <v>May</v>
      </c>
      <c r="I548" s="5">
        <v>45814</v>
      </c>
      <c r="J548" s="7">
        <f t="shared" si="17"/>
        <v>10</v>
      </c>
      <c r="K548" s="6">
        <v>97130</v>
      </c>
    </row>
    <row r="549" spans="1:11" x14ac:dyDescent="0.3">
      <c r="A549" t="s">
        <v>723</v>
      </c>
      <c r="B549" t="s">
        <v>411</v>
      </c>
      <c r="C549">
        <v>72</v>
      </c>
      <c r="D549" t="s">
        <v>17</v>
      </c>
      <c r="E549" t="s">
        <v>30</v>
      </c>
      <c r="F549" t="s">
        <v>23</v>
      </c>
      <c r="G549" s="5">
        <v>45793</v>
      </c>
      <c r="H549" t="str">
        <f t="shared" si="16"/>
        <v>May</v>
      </c>
      <c r="I549" s="5">
        <v>45797</v>
      </c>
      <c r="J549" s="7">
        <f t="shared" si="17"/>
        <v>4</v>
      </c>
      <c r="K549" s="6">
        <v>29464</v>
      </c>
    </row>
    <row r="550" spans="1:11" x14ac:dyDescent="0.3">
      <c r="A550" t="s">
        <v>724</v>
      </c>
      <c r="B550" t="s">
        <v>245</v>
      </c>
      <c r="C550">
        <v>26</v>
      </c>
      <c r="D550" t="s">
        <v>12</v>
      </c>
      <c r="E550" t="s">
        <v>45</v>
      </c>
      <c r="F550" t="s">
        <v>62</v>
      </c>
      <c r="G550" s="5">
        <v>45684</v>
      </c>
      <c r="H550" t="str">
        <f t="shared" si="16"/>
        <v>January</v>
      </c>
      <c r="I550" s="5">
        <v>45689</v>
      </c>
      <c r="J550" s="7">
        <f t="shared" si="17"/>
        <v>5</v>
      </c>
      <c r="K550" s="6">
        <v>41480</v>
      </c>
    </row>
    <row r="551" spans="1:11" x14ac:dyDescent="0.3">
      <c r="A551" t="s">
        <v>725</v>
      </c>
      <c r="B551" t="s">
        <v>148</v>
      </c>
      <c r="C551">
        <v>82</v>
      </c>
      <c r="D551" t="s">
        <v>17</v>
      </c>
      <c r="E551" t="s">
        <v>26</v>
      </c>
      <c r="F551" t="s">
        <v>23</v>
      </c>
      <c r="G551" s="5">
        <v>45806</v>
      </c>
      <c r="H551" t="str">
        <f t="shared" si="16"/>
        <v>May</v>
      </c>
      <c r="I551" s="5">
        <v>45811</v>
      </c>
      <c r="J551" s="7">
        <f t="shared" si="17"/>
        <v>5</v>
      </c>
      <c r="K551" s="6">
        <v>38205</v>
      </c>
    </row>
    <row r="552" spans="1:11" x14ac:dyDescent="0.3">
      <c r="A552" t="s">
        <v>726</v>
      </c>
      <c r="B552" t="s">
        <v>471</v>
      </c>
      <c r="C552">
        <v>18</v>
      </c>
      <c r="D552" t="s">
        <v>17</v>
      </c>
      <c r="E552" t="s">
        <v>13</v>
      </c>
      <c r="F552" t="s">
        <v>19</v>
      </c>
      <c r="G552" s="5">
        <v>45756</v>
      </c>
      <c r="H552" t="str">
        <f t="shared" si="16"/>
        <v>April</v>
      </c>
      <c r="I552" s="5">
        <v>45762</v>
      </c>
      <c r="J552" s="7">
        <f t="shared" si="17"/>
        <v>6</v>
      </c>
      <c r="K552" s="6">
        <v>69876</v>
      </c>
    </row>
    <row r="553" spans="1:11" x14ac:dyDescent="0.3">
      <c r="A553" t="s">
        <v>727</v>
      </c>
      <c r="B553" t="s">
        <v>366</v>
      </c>
      <c r="C553">
        <v>1</v>
      </c>
      <c r="D553" t="s">
        <v>12</v>
      </c>
      <c r="E553" t="s">
        <v>39</v>
      </c>
      <c r="F553" t="s">
        <v>62</v>
      </c>
      <c r="G553" s="5">
        <v>45762</v>
      </c>
      <c r="H553" t="str">
        <f t="shared" si="16"/>
        <v>April</v>
      </c>
      <c r="I553" s="5">
        <v>45774</v>
      </c>
      <c r="J553" s="7">
        <f t="shared" si="17"/>
        <v>12</v>
      </c>
      <c r="K553" s="6">
        <v>128760</v>
      </c>
    </row>
    <row r="554" spans="1:11" x14ac:dyDescent="0.3">
      <c r="A554" t="s">
        <v>728</v>
      </c>
      <c r="B554" t="s">
        <v>461</v>
      </c>
      <c r="C554">
        <v>74</v>
      </c>
      <c r="D554" t="s">
        <v>12</v>
      </c>
      <c r="E554" t="s">
        <v>39</v>
      </c>
      <c r="F554" t="s">
        <v>27</v>
      </c>
      <c r="G554" s="5">
        <v>45754</v>
      </c>
      <c r="H554" t="str">
        <f t="shared" si="16"/>
        <v>April</v>
      </c>
      <c r="I554" s="5">
        <v>45767</v>
      </c>
      <c r="J554" s="7">
        <f t="shared" si="17"/>
        <v>13</v>
      </c>
      <c r="K554" s="6">
        <v>63960</v>
      </c>
    </row>
    <row r="555" spans="1:11" x14ac:dyDescent="0.3">
      <c r="A555" t="s">
        <v>729</v>
      </c>
      <c r="B555" t="s">
        <v>303</v>
      </c>
      <c r="C555">
        <v>8</v>
      </c>
      <c r="D555" t="s">
        <v>12</v>
      </c>
      <c r="E555" t="s">
        <v>102</v>
      </c>
      <c r="F555" t="s">
        <v>23</v>
      </c>
      <c r="G555" s="5">
        <v>45693</v>
      </c>
      <c r="H555" t="str">
        <f t="shared" si="16"/>
        <v>February</v>
      </c>
      <c r="I555" s="5">
        <v>45702</v>
      </c>
      <c r="J555" s="7">
        <f t="shared" si="17"/>
        <v>9</v>
      </c>
      <c r="K555" s="6">
        <v>94833</v>
      </c>
    </row>
    <row r="556" spans="1:11" x14ac:dyDescent="0.3">
      <c r="A556" t="s">
        <v>730</v>
      </c>
      <c r="B556" t="s">
        <v>626</v>
      </c>
      <c r="C556">
        <v>71</v>
      </c>
      <c r="D556" t="s">
        <v>17</v>
      </c>
      <c r="E556" t="s">
        <v>45</v>
      </c>
      <c r="F556" t="s">
        <v>59</v>
      </c>
      <c r="G556" s="5">
        <v>45779</v>
      </c>
      <c r="H556" t="str">
        <f t="shared" si="16"/>
        <v>May</v>
      </c>
      <c r="I556" s="5">
        <v>45785</v>
      </c>
      <c r="J556" s="7">
        <f t="shared" si="17"/>
        <v>6</v>
      </c>
      <c r="K556" s="6">
        <v>35988</v>
      </c>
    </row>
    <row r="557" spans="1:11" x14ac:dyDescent="0.3">
      <c r="A557" t="s">
        <v>731</v>
      </c>
      <c r="B557" t="s">
        <v>171</v>
      </c>
      <c r="C557">
        <v>6</v>
      </c>
      <c r="D557" t="s">
        <v>17</v>
      </c>
      <c r="E557" t="s">
        <v>45</v>
      </c>
      <c r="F557" t="s">
        <v>62</v>
      </c>
      <c r="G557" s="5">
        <v>45684</v>
      </c>
      <c r="H557" t="str">
        <f t="shared" si="16"/>
        <v>January</v>
      </c>
      <c r="I557" s="5">
        <v>45685</v>
      </c>
      <c r="J557" s="7">
        <f t="shared" si="17"/>
        <v>1</v>
      </c>
      <c r="K557" s="6">
        <v>11603</v>
      </c>
    </row>
    <row r="558" spans="1:11" x14ac:dyDescent="0.3">
      <c r="A558" t="s">
        <v>732</v>
      </c>
      <c r="B558" t="s">
        <v>550</v>
      </c>
      <c r="C558">
        <v>7</v>
      </c>
      <c r="D558" t="s">
        <v>17</v>
      </c>
      <c r="E558" t="s">
        <v>13</v>
      </c>
      <c r="F558" t="s">
        <v>62</v>
      </c>
      <c r="G558" s="5">
        <v>45923</v>
      </c>
      <c r="H558" t="str">
        <f t="shared" si="16"/>
        <v>September</v>
      </c>
      <c r="I558" s="5">
        <v>45935</v>
      </c>
      <c r="J558" s="7">
        <f t="shared" si="17"/>
        <v>12</v>
      </c>
      <c r="K558" s="6">
        <v>56556</v>
      </c>
    </row>
    <row r="559" spans="1:11" x14ac:dyDescent="0.3">
      <c r="A559" t="s">
        <v>733</v>
      </c>
      <c r="B559" t="s">
        <v>54</v>
      </c>
      <c r="C559">
        <v>69</v>
      </c>
      <c r="D559" t="s">
        <v>12</v>
      </c>
      <c r="E559" t="s">
        <v>30</v>
      </c>
      <c r="F559" t="s">
        <v>59</v>
      </c>
      <c r="G559" s="5">
        <v>45662</v>
      </c>
      <c r="H559" t="str">
        <f t="shared" si="16"/>
        <v>January</v>
      </c>
      <c r="I559" s="5">
        <v>45672</v>
      </c>
      <c r="J559" s="7">
        <f t="shared" si="17"/>
        <v>10</v>
      </c>
      <c r="K559" s="6">
        <v>107890</v>
      </c>
    </row>
    <row r="560" spans="1:11" x14ac:dyDescent="0.3">
      <c r="A560" t="s">
        <v>734</v>
      </c>
      <c r="B560" t="s">
        <v>185</v>
      </c>
      <c r="C560">
        <v>80</v>
      </c>
      <c r="D560" t="s">
        <v>17</v>
      </c>
      <c r="E560" t="s">
        <v>26</v>
      </c>
      <c r="F560" t="s">
        <v>42</v>
      </c>
      <c r="G560" s="5">
        <v>45948</v>
      </c>
      <c r="H560" t="str">
        <f t="shared" si="16"/>
        <v>October</v>
      </c>
      <c r="I560" s="5">
        <v>45962</v>
      </c>
      <c r="J560" s="7">
        <f t="shared" si="17"/>
        <v>14</v>
      </c>
      <c r="K560" s="6">
        <v>70420</v>
      </c>
    </row>
    <row r="561" spans="1:11" x14ac:dyDescent="0.3">
      <c r="A561" t="s">
        <v>735</v>
      </c>
      <c r="B561" t="s">
        <v>61</v>
      </c>
      <c r="C561">
        <v>25</v>
      </c>
      <c r="D561" t="s">
        <v>12</v>
      </c>
      <c r="E561" t="s">
        <v>13</v>
      </c>
      <c r="F561" t="s">
        <v>19</v>
      </c>
      <c r="G561" s="5">
        <v>45800</v>
      </c>
      <c r="H561" t="str">
        <f t="shared" si="16"/>
        <v>May</v>
      </c>
      <c r="I561" s="5">
        <v>45802</v>
      </c>
      <c r="J561" s="7">
        <f t="shared" si="17"/>
        <v>2</v>
      </c>
      <c r="K561" s="6">
        <v>19402</v>
      </c>
    </row>
    <row r="562" spans="1:11" x14ac:dyDescent="0.3">
      <c r="A562" t="s">
        <v>736</v>
      </c>
      <c r="B562" t="s">
        <v>11</v>
      </c>
      <c r="C562">
        <v>48</v>
      </c>
      <c r="D562" t="s">
        <v>17</v>
      </c>
      <c r="E562" t="s">
        <v>26</v>
      </c>
      <c r="F562" t="s">
        <v>34</v>
      </c>
      <c r="G562" s="5">
        <v>45857</v>
      </c>
      <c r="H562" t="str">
        <f t="shared" si="16"/>
        <v>July</v>
      </c>
      <c r="I562" s="5">
        <v>45862</v>
      </c>
      <c r="J562" s="7">
        <f t="shared" si="17"/>
        <v>5</v>
      </c>
      <c r="K562" s="6">
        <v>33420</v>
      </c>
    </row>
    <row r="563" spans="1:11" x14ac:dyDescent="0.3">
      <c r="A563" t="s">
        <v>737</v>
      </c>
      <c r="B563" t="s">
        <v>134</v>
      </c>
      <c r="C563">
        <v>38</v>
      </c>
      <c r="D563" t="s">
        <v>12</v>
      </c>
      <c r="E563" t="s">
        <v>13</v>
      </c>
      <c r="F563" t="s">
        <v>59</v>
      </c>
      <c r="G563" s="5">
        <v>45861</v>
      </c>
      <c r="H563" t="str">
        <f t="shared" si="16"/>
        <v>July</v>
      </c>
      <c r="I563" s="5">
        <v>45870</v>
      </c>
      <c r="J563" s="7">
        <f t="shared" si="17"/>
        <v>9</v>
      </c>
      <c r="K563" s="6">
        <v>77445</v>
      </c>
    </row>
    <row r="564" spans="1:11" x14ac:dyDescent="0.3">
      <c r="A564" t="s">
        <v>738</v>
      </c>
      <c r="B564" t="s">
        <v>61</v>
      </c>
      <c r="C564">
        <v>18</v>
      </c>
      <c r="D564" t="s">
        <v>12</v>
      </c>
      <c r="E564" t="s">
        <v>48</v>
      </c>
      <c r="F564" t="s">
        <v>62</v>
      </c>
      <c r="G564" s="5">
        <v>45864</v>
      </c>
      <c r="H564" t="str">
        <f t="shared" si="16"/>
        <v>July</v>
      </c>
      <c r="I564" s="5">
        <v>45870</v>
      </c>
      <c r="J564" s="7">
        <f t="shared" si="17"/>
        <v>6</v>
      </c>
      <c r="K564" s="6">
        <v>26058</v>
      </c>
    </row>
    <row r="565" spans="1:11" x14ac:dyDescent="0.3">
      <c r="A565" t="s">
        <v>739</v>
      </c>
      <c r="B565" t="s">
        <v>139</v>
      </c>
      <c r="C565">
        <v>87</v>
      </c>
      <c r="D565" t="s">
        <v>12</v>
      </c>
      <c r="E565" t="s">
        <v>26</v>
      </c>
      <c r="F565" t="s">
        <v>34</v>
      </c>
      <c r="G565" s="5">
        <v>45730</v>
      </c>
      <c r="H565" t="str">
        <f t="shared" si="16"/>
        <v>March</v>
      </c>
      <c r="I565" s="5">
        <v>45736</v>
      </c>
      <c r="J565" s="7">
        <f t="shared" si="17"/>
        <v>6</v>
      </c>
      <c r="K565" s="6">
        <v>50238</v>
      </c>
    </row>
    <row r="566" spans="1:11" x14ac:dyDescent="0.3">
      <c r="A566" t="s">
        <v>740</v>
      </c>
      <c r="B566" t="s">
        <v>96</v>
      </c>
      <c r="C566">
        <v>75</v>
      </c>
      <c r="D566" t="s">
        <v>17</v>
      </c>
      <c r="E566" t="s">
        <v>39</v>
      </c>
      <c r="F566" t="s">
        <v>34</v>
      </c>
      <c r="G566" s="5">
        <v>45723</v>
      </c>
      <c r="H566" t="str">
        <f t="shared" si="16"/>
        <v>March</v>
      </c>
      <c r="I566" s="5">
        <v>45734</v>
      </c>
      <c r="J566" s="7">
        <f t="shared" si="17"/>
        <v>11</v>
      </c>
      <c r="K566" s="6">
        <v>68046</v>
      </c>
    </row>
    <row r="567" spans="1:11" x14ac:dyDescent="0.3">
      <c r="A567" t="s">
        <v>741</v>
      </c>
      <c r="B567" t="s">
        <v>158</v>
      </c>
      <c r="C567">
        <v>82</v>
      </c>
      <c r="D567" t="s">
        <v>12</v>
      </c>
      <c r="E567" t="s">
        <v>26</v>
      </c>
      <c r="F567" t="s">
        <v>19</v>
      </c>
      <c r="G567" s="5">
        <v>46020</v>
      </c>
      <c r="H567" t="str">
        <f t="shared" si="16"/>
        <v>December</v>
      </c>
      <c r="I567" s="5">
        <v>46024</v>
      </c>
      <c r="J567" s="7">
        <f t="shared" si="17"/>
        <v>4</v>
      </c>
      <c r="K567" s="6">
        <v>35052</v>
      </c>
    </row>
    <row r="568" spans="1:11" x14ac:dyDescent="0.3">
      <c r="A568" t="s">
        <v>742</v>
      </c>
      <c r="B568" t="s">
        <v>178</v>
      </c>
      <c r="C568">
        <v>29</v>
      </c>
      <c r="D568" t="s">
        <v>17</v>
      </c>
      <c r="E568" t="s">
        <v>39</v>
      </c>
      <c r="F568" t="s">
        <v>27</v>
      </c>
      <c r="G568" s="5">
        <v>45885</v>
      </c>
      <c r="H568" t="str">
        <f t="shared" si="16"/>
        <v>August</v>
      </c>
      <c r="I568" s="5">
        <v>45896</v>
      </c>
      <c r="J568" s="7">
        <f t="shared" si="17"/>
        <v>11</v>
      </c>
      <c r="K568" s="6">
        <v>104500</v>
      </c>
    </row>
    <row r="569" spans="1:11" x14ac:dyDescent="0.3">
      <c r="A569" t="s">
        <v>743</v>
      </c>
      <c r="B569" t="s">
        <v>426</v>
      </c>
      <c r="C569">
        <v>27</v>
      </c>
      <c r="D569" t="s">
        <v>12</v>
      </c>
      <c r="E569" t="s">
        <v>39</v>
      </c>
      <c r="F569" t="s">
        <v>23</v>
      </c>
      <c r="G569" s="5">
        <v>45920</v>
      </c>
      <c r="H569" t="str">
        <f t="shared" si="16"/>
        <v>September</v>
      </c>
      <c r="I569" s="5">
        <v>45933</v>
      </c>
      <c r="J569" s="7">
        <f t="shared" si="17"/>
        <v>13</v>
      </c>
      <c r="K569" s="6">
        <v>69940</v>
      </c>
    </row>
    <row r="570" spans="1:11" x14ac:dyDescent="0.3">
      <c r="A570" t="s">
        <v>744</v>
      </c>
      <c r="B570" t="s">
        <v>656</v>
      </c>
      <c r="C570">
        <v>57</v>
      </c>
      <c r="D570" t="s">
        <v>17</v>
      </c>
      <c r="E570" t="s">
        <v>39</v>
      </c>
      <c r="F570" t="s">
        <v>23</v>
      </c>
      <c r="G570" s="5">
        <v>45805</v>
      </c>
      <c r="H570" t="str">
        <f t="shared" si="16"/>
        <v>May</v>
      </c>
      <c r="I570" s="5">
        <v>45812</v>
      </c>
      <c r="J570" s="7">
        <f t="shared" si="17"/>
        <v>7</v>
      </c>
      <c r="K570" s="6">
        <v>53011</v>
      </c>
    </row>
    <row r="571" spans="1:11" x14ac:dyDescent="0.3">
      <c r="A571" t="s">
        <v>745</v>
      </c>
      <c r="B571" t="s">
        <v>467</v>
      </c>
      <c r="C571">
        <v>64</v>
      </c>
      <c r="D571" t="s">
        <v>17</v>
      </c>
      <c r="E571" t="s">
        <v>39</v>
      </c>
      <c r="F571" t="s">
        <v>23</v>
      </c>
      <c r="G571" s="5">
        <v>45854</v>
      </c>
      <c r="H571" t="str">
        <f t="shared" si="16"/>
        <v>July</v>
      </c>
      <c r="I571" s="5">
        <v>45857</v>
      </c>
      <c r="J571" s="7">
        <f t="shared" si="17"/>
        <v>3</v>
      </c>
      <c r="K571" s="6">
        <v>32493</v>
      </c>
    </row>
    <row r="572" spans="1:11" x14ac:dyDescent="0.3">
      <c r="A572" t="s">
        <v>746</v>
      </c>
      <c r="B572" t="s">
        <v>61</v>
      </c>
      <c r="C572">
        <v>63</v>
      </c>
      <c r="D572" t="s">
        <v>12</v>
      </c>
      <c r="E572" t="s">
        <v>33</v>
      </c>
      <c r="F572" t="s">
        <v>27</v>
      </c>
      <c r="G572" s="5">
        <v>45800</v>
      </c>
      <c r="H572" t="str">
        <f t="shared" si="16"/>
        <v>May</v>
      </c>
      <c r="I572" s="5">
        <v>45802</v>
      </c>
      <c r="J572" s="7">
        <f t="shared" si="17"/>
        <v>2</v>
      </c>
      <c r="K572" s="6">
        <v>23140</v>
      </c>
    </row>
    <row r="573" spans="1:11" x14ac:dyDescent="0.3">
      <c r="A573" t="s">
        <v>747</v>
      </c>
      <c r="B573" t="s">
        <v>397</v>
      </c>
      <c r="C573">
        <v>27</v>
      </c>
      <c r="D573" t="s">
        <v>12</v>
      </c>
      <c r="E573" t="s">
        <v>13</v>
      </c>
      <c r="F573" t="s">
        <v>23</v>
      </c>
      <c r="G573" s="5">
        <v>45838</v>
      </c>
      <c r="H573" t="str">
        <f t="shared" si="16"/>
        <v>June</v>
      </c>
      <c r="I573" s="5">
        <v>45852</v>
      </c>
      <c r="J573" s="7">
        <f t="shared" si="17"/>
        <v>14</v>
      </c>
      <c r="K573" s="6">
        <v>105392</v>
      </c>
    </row>
    <row r="574" spans="1:11" x14ac:dyDescent="0.3">
      <c r="A574" t="s">
        <v>748</v>
      </c>
      <c r="B574" t="s">
        <v>455</v>
      </c>
      <c r="C574">
        <v>19</v>
      </c>
      <c r="D574" t="s">
        <v>12</v>
      </c>
      <c r="E574" t="s">
        <v>30</v>
      </c>
      <c r="F574" t="s">
        <v>27</v>
      </c>
      <c r="G574" s="5">
        <v>45975</v>
      </c>
      <c r="H574" t="str">
        <f t="shared" si="16"/>
        <v>November</v>
      </c>
      <c r="I574" s="5">
        <v>45976</v>
      </c>
      <c r="J574" s="7">
        <f t="shared" si="17"/>
        <v>1</v>
      </c>
      <c r="K574" s="6">
        <v>8623</v>
      </c>
    </row>
    <row r="575" spans="1:11" x14ac:dyDescent="0.3">
      <c r="A575" t="s">
        <v>749</v>
      </c>
      <c r="B575" t="s">
        <v>377</v>
      </c>
      <c r="C575">
        <v>13</v>
      </c>
      <c r="D575" t="s">
        <v>17</v>
      </c>
      <c r="E575" t="s">
        <v>30</v>
      </c>
      <c r="F575" t="s">
        <v>14</v>
      </c>
      <c r="G575" s="5">
        <v>45972</v>
      </c>
      <c r="H575" t="str">
        <f t="shared" si="16"/>
        <v>November</v>
      </c>
      <c r="I575" s="5">
        <v>45980</v>
      </c>
      <c r="J575" s="7">
        <f t="shared" si="17"/>
        <v>8</v>
      </c>
      <c r="K575" s="6">
        <v>43256</v>
      </c>
    </row>
    <row r="576" spans="1:11" x14ac:dyDescent="0.3">
      <c r="A576" t="s">
        <v>750</v>
      </c>
      <c r="B576" t="s">
        <v>341</v>
      </c>
      <c r="C576">
        <v>23</v>
      </c>
      <c r="D576" t="s">
        <v>17</v>
      </c>
      <c r="E576" t="s">
        <v>39</v>
      </c>
      <c r="F576" t="s">
        <v>23</v>
      </c>
      <c r="G576" s="5">
        <v>45755</v>
      </c>
      <c r="H576" t="str">
        <f t="shared" si="16"/>
        <v>April</v>
      </c>
      <c r="I576" s="5">
        <v>45767</v>
      </c>
      <c r="J576" s="7">
        <f t="shared" si="17"/>
        <v>12</v>
      </c>
      <c r="K576" s="6">
        <v>68928</v>
      </c>
    </row>
    <row r="577" spans="1:11" x14ac:dyDescent="0.3">
      <c r="A577" t="s">
        <v>751</v>
      </c>
      <c r="B577" t="s">
        <v>484</v>
      </c>
      <c r="C577">
        <v>43</v>
      </c>
      <c r="D577" t="s">
        <v>17</v>
      </c>
      <c r="E577" t="s">
        <v>13</v>
      </c>
      <c r="F577" t="s">
        <v>14</v>
      </c>
      <c r="G577" s="5">
        <v>45721</v>
      </c>
      <c r="H577" t="str">
        <f t="shared" si="16"/>
        <v>March</v>
      </c>
      <c r="I577" s="5">
        <v>45729</v>
      </c>
      <c r="J577" s="7">
        <f t="shared" si="17"/>
        <v>8</v>
      </c>
      <c r="K577" s="6">
        <v>94072</v>
      </c>
    </row>
    <row r="578" spans="1:11" x14ac:dyDescent="0.3">
      <c r="A578" t="s">
        <v>752</v>
      </c>
      <c r="B578" t="s">
        <v>682</v>
      </c>
      <c r="C578">
        <v>65</v>
      </c>
      <c r="D578" t="s">
        <v>17</v>
      </c>
      <c r="E578" t="s">
        <v>22</v>
      </c>
      <c r="F578" t="s">
        <v>42</v>
      </c>
      <c r="G578" s="5">
        <v>46012</v>
      </c>
      <c r="H578" t="str">
        <f t="shared" ref="H578:H641" si="18">TEXT(G578,"mmmm")</f>
        <v>December</v>
      </c>
      <c r="I578" s="5">
        <v>46019</v>
      </c>
      <c r="J578" s="7">
        <f t="shared" si="17"/>
        <v>7</v>
      </c>
      <c r="K578" s="6">
        <v>68271</v>
      </c>
    </row>
    <row r="579" spans="1:11" x14ac:dyDescent="0.3">
      <c r="A579" t="s">
        <v>753</v>
      </c>
      <c r="B579" t="s">
        <v>306</v>
      </c>
      <c r="C579">
        <v>82</v>
      </c>
      <c r="D579" t="s">
        <v>12</v>
      </c>
      <c r="E579" t="s">
        <v>39</v>
      </c>
      <c r="F579" t="s">
        <v>27</v>
      </c>
      <c r="G579" s="5">
        <v>45982</v>
      </c>
      <c r="H579" t="str">
        <f t="shared" si="18"/>
        <v>November</v>
      </c>
      <c r="I579" s="5">
        <v>45993</v>
      </c>
      <c r="J579" s="7">
        <f t="shared" ref="J579:J642" si="19">I579-G579</f>
        <v>11</v>
      </c>
      <c r="K579" s="6">
        <v>103917</v>
      </c>
    </row>
    <row r="580" spans="1:11" x14ac:dyDescent="0.3">
      <c r="A580" t="s">
        <v>754</v>
      </c>
      <c r="B580" t="s">
        <v>164</v>
      </c>
      <c r="C580">
        <v>8</v>
      </c>
      <c r="D580" t="s">
        <v>12</v>
      </c>
      <c r="E580" t="s">
        <v>30</v>
      </c>
      <c r="F580" t="s">
        <v>19</v>
      </c>
      <c r="G580" s="5">
        <v>45826</v>
      </c>
      <c r="H580" t="str">
        <f t="shared" si="18"/>
        <v>June</v>
      </c>
      <c r="I580" s="5">
        <v>45839</v>
      </c>
      <c r="J580" s="7">
        <f t="shared" si="19"/>
        <v>13</v>
      </c>
      <c r="K580" s="6">
        <v>87295</v>
      </c>
    </row>
    <row r="581" spans="1:11" x14ac:dyDescent="0.3">
      <c r="A581" t="s">
        <v>755</v>
      </c>
      <c r="B581" t="s">
        <v>579</v>
      </c>
      <c r="C581">
        <v>65</v>
      </c>
      <c r="D581" t="s">
        <v>12</v>
      </c>
      <c r="E581" t="s">
        <v>102</v>
      </c>
      <c r="F581" t="s">
        <v>27</v>
      </c>
      <c r="G581" s="5">
        <v>45871</v>
      </c>
      <c r="H581" t="str">
        <f t="shared" si="18"/>
        <v>August</v>
      </c>
      <c r="I581" s="5">
        <v>45881</v>
      </c>
      <c r="J581" s="7">
        <f t="shared" si="19"/>
        <v>10</v>
      </c>
      <c r="K581" s="6">
        <v>56800</v>
      </c>
    </row>
    <row r="582" spans="1:11" x14ac:dyDescent="0.3">
      <c r="A582" t="s">
        <v>756</v>
      </c>
      <c r="B582" t="s">
        <v>626</v>
      </c>
      <c r="C582">
        <v>58</v>
      </c>
      <c r="D582" t="s">
        <v>12</v>
      </c>
      <c r="E582" t="s">
        <v>45</v>
      </c>
      <c r="F582" t="s">
        <v>42</v>
      </c>
      <c r="G582" s="5">
        <v>45826</v>
      </c>
      <c r="H582" t="str">
        <f t="shared" si="18"/>
        <v>June</v>
      </c>
      <c r="I582" s="5">
        <v>45841</v>
      </c>
      <c r="J582" s="7">
        <f t="shared" si="19"/>
        <v>15</v>
      </c>
      <c r="K582" s="6">
        <v>86625</v>
      </c>
    </row>
    <row r="583" spans="1:11" x14ac:dyDescent="0.3">
      <c r="A583" t="s">
        <v>757</v>
      </c>
      <c r="B583" t="s">
        <v>712</v>
      </c>
      <c r="C583">
        <v>65</v>
      </c>
      <c r="D583" t="s">
        <v>17</v>
      </c>
      <c r="E583" t="s">
        <v>26</v>
      </c>
      <c r="F583" t="s">
        <v>23</v>
      </c>
      <c r="G583" s="5">
        <v>45713</v>
      </c>
      <c r="H583" t="str">
        <f t="shared" si="18"/>
        <v>February</v>
      </c>
      <c r="I583" s="5">
        <v>45721</v>
      </c>
      <c r="J583" s="7">
        <f t="shared" si="19"/>
        <v>8</v>
      </c>
      <c r="K583" s="6">
        <v>93264</v>
      </c>
    </row>
    <row r="584" spans="1:11" x14ac:dyDescent="0.3">
      <c r="A584" t="s">
        <v>758</v>
      </c>
      <c r="B584" t="s">
        <v>759</v>
      </c>
      <c r="C584">
        <v>70</v>
      </c>
      <c r="D584" t="s">
        <v>12</v>
      </c>
      <c r="E584" t="s">
        <v>39</v>
      </c>
      <c r="F584" t="s">
        <v>19</v>
      </c>
      <c r="G584" s="5">
        <v>45818</v>
      </c>
      <c r="H584" t="str">
        <f t="shared" si="18"/>
        <v>June</v>
      </c>
      <c r="I584" s="5">
        <v>45827</v>
      </c>
      <c r="J584" s="7">
        <f t="shared" si="19"/>
        <v>9</v>
      </c>
      <c r="K584" s="6">
        <v>44496</v>
      </c>
    </row>
    <row r="585" spans="1:11" x14ac:dyDescent="0.3">
      <c r="A585" t="s">
        <v>760</v>
      </c>
      <c r="B585" t="s">
        <v>84</v>
      </c>
      <c r="C585">
        <v>70</v>
      </c>
      <c r="D585" t="s">
        <v>12</v>
      </c>
      <c r="E585" t="s">
        <v>30</v>
      </c>
      <c r="F585" t="s">
        <v>34</v>
      </c>
      <c r="G585" s="5">
        <v>45752</v>
      </c>
      <c r="H585" t="str">
        <f t="shared" si="18"/>
        <v>April</v>
      </c>
      <c r="I585" s="5">
        <v>45763</v>
      </c>
      <c r="J585" s="7">
        <f t="shared" si="19"/>
        <v>11</v>
      </c>
      <c r="K585" s="6">
        <v>46156</v>
      </c>
    </row>
    <row r="586" spans="1:11" x14ac:dyDescent="0.3">
      <c r="A586" t="s">
        <v>761</v>
      </c>
      <c r="B586" t="s">
        <v>132</v>
      </c>
      <c r="C586">
        <v>28</v>
      </c>
      <c r="D586" t="s">
        <v>17</v>
      </c>
      <c r="E586" t="s">
        <v>45</v>
      </c>
      <c r="F586" t="s">
        <v>34</v>
      </c>
      <c r="G586" s="5">
        <v>45955</v>
      </c>
      <c r="H586" t="str">
        <f t="shared" si="18"/>
        <v>October</v>
      </c>
      <c r="I586" s="5">
        <v>45958</v>
      </c>
      <c r="J586" s="7">
        <f t="shared" si="19"/>
        <v>3</v>
      </c>
      <c r="K586" s="6">
        <v>31863</v>
      </c>
    </row>
    <row r="587" spans="1:11" x14ac:dyDescent="0.3">
      <c r="A587" t="s">
        <v>762</v>
      </c>
      <c r="B587" t="s">
        <v>116</v>
      </c>
      <c r="C587">
        <v>89</v>
      </c>
      <c r="D587" t="s">
        <v>12</v>
      </c>
      <c r="E587" t="s">
        <v>18</v>
      </c>
      <c r="F587" t="s">
        <v>62</v>
      </c>
      <c r="G587" s="5">
        <v>45928</v>
      </c>
      <c r="H587" t="str">
        <f t="shared" si="18"/>
        <v>September</v>
      </c>
      <c r="I587" s="5">
        <v>45937</v>
      </c>
      <c r="J587" s="7">
        <f t="shared" si="19"/>
        <v>9</v>
      </c>
      <c r="K587" s="6">
        <v>85428</v>
      </c>
    </row>
    <row r="588" spans="1:11" x14ac:dyDescent="0.3">
      <c r="A588" t="s">
        <v>763</v>
      </c>
      <c r="B588" t="s">
        <v>366</v>
      </c>
      <c r="C588">
        <v>46</v>
      </c>
      <c r="D588" t="s">
        <v>12</v>
      </c>
      <c r="E588" t="s">
        <v>33</v>
      </c>
      <c r="F588" t="s">
        <v>14</v>
      </c>
      <c r="G588" s="5">
        <v>45938</v>
      </c>
      <c r="H588" t="str">
        <f t="shared" si="18"/>
        <v>October</v>
      </c>
      <c r="I588" s="5">
        <v>45949</v>
      </c>
      <c r="J588" s="7">
        <f t="shared" si="19"/>
        <v>11</v>
      </c>
      <c r="K588" s="6">
        <v>106447</v>
      </c>
    </row>
    <row r="589" spans="1:11" x14ac:dyDescent="0.3">
      <c r="A589" t="s">
        <v>764</v>
      </c>
      <c r="B589" t="s">
        <v>16</v>
      </c>
      <c r="C589">
        <v>84</v>
      </c>
      <c r="D589" t="s">
        <v>12</v>
      </c>
      <c r="E589" t="s">
        <v>102</v>
      </c>
      <c r="F589" t="s">
        <v>19</v>
      </c>
      <c r="G589" s="5">
        <v>45992</v>
      </c>
      <c r="H589" t="str">
        <f t="shared" si="18"/>
        <v>December</v>
      </c>
      <c r="I589" s="5">
        <v>45994</v>
      </c>
      <c r="J589" s="7">
        <f t="shared" si="19"/>
        <v>2</v>
      </c>
      <c r="K589" s="6">
        <v>22990</v>
      </c>
    </row>
    <row r="590" spans="1:11" x14ac:dyDescent="0.3">
      <c r="A590" t="s">
        <v>765</v>
      </c>
      <c r="B590" t="s">
        <v>203</v>
      </c>
      <c r="C590">
        <v>83</v>
      </c>
      <c r="D590" t="s">
        <v>17</v>
      </c>
      <c r="E590" t="s">
        <v>22</v>
      </c>
      <c r="F590" t="s">
        <v>42</v>
      </c>
      <c r="G590" s="5">
        <v>45906</v>
      </c>
      <c r="H590" t="str">
        <f t="shared" si="18"/>
        <v>September</v>
      </c>
      <c r="I590" s="5">
        <v>45916</v>
      </c>
      <c r="J590" s="7">
        <f t="shared" si="19"/>
        <v>10</v>
      </c>
      <c r="K590" s="6">
        <v>117330</v>
      </c>
    </row>
    <row r="591" spans="1:11" x14ac:dyDescent="0.3">
      <c r="A591" t="s">
        <v>766</v>
      </c>
      <c r="B591" t="s">
        <v>330</v>
      </c>
      <c r="C591">
        <v>20</v>
      </c>
      <c r="D591" t="s">
        <v>17</v>
      </c>
      <c r="E591" t="s">
        <v>22</v>
      </c>
      <c r="F591" t="s">
        <v>59</v>
      </c>
      <c r="G591" s="5">
        <v>45992</v>
      </c>
      <c r="H591" t="str">
        <f t="shared" si="18"/>
        <v>December</v>
      </c>
      <c r="I591" s="5">
        <v>46005</v>
      </c>
      <c r="J591" s="7">
        <f t="shared" si="19"/>
        <v>13</v>
      </c>
      <c r="K591" s="6">
        <v>148655</v>
      </c>
    </row>
    <row r="592" spans="1:11" x14ac:dyDescent="0.3">
      <c r="A592" t="s">
        <v>767</v>
      </c>
      <c r="B592" t="s">
        <v>50</v>
      </c>
      <c r="C592">
        <v>69</v>
      </c>
      <c r="D592" t="s">
        <v>17</v>
      </c>
      <c r="E592" t="s">
        <v>13</v>
      </c>
      <c r="F592" t="s">
        <v>34</v>
      </c>
      <c r="G592" s="5">
        <v>45777</v>
      </c>
      <c r="H592" t="str">
        <f t="shared" si="18"/>
        <v>April</v>
      </c>
      <c r="I592" s="5">
        <v>45780</v>
      </c>
      <c r="J592" s="7">
        <f t="shared" si="19"/>
        <v>3</v>
      </c>
      <c r="K592" s="6">
        <v>26247</v>
      </c>
    </row>
    <row r="593" spans="1:11" x14ac:dyDescent="0.3">
      <c r="A593" t="s">
        <v>768</v>
      </c>
      <c r="B593" t="s">
        <v>275</v>
      </c>
      <c r="C593">
        <v>86</v>
      </c>
      <c r="D593" t="s">
        <v>17</v>
      </c>
      <c r="E593" t="s">
        <v>26</v>
      </c>
      <c r="F593" t="s">
        <v>34</v>
      </c>
      <c r="G593" s="5">
        <v>45843</v>
      </c>
      <c r="H593" t="str">
        <f t="shared" si="18"/>
        <v>July</v>
      </c>
      <c r="I593" s="5">
        <v>45853</v>
      </c>
      <c r="J593" s="7">
        <f t="shared" si="19"/>
        <v>10</v>
      </c>
      <c r="K593" s="6">
        <v>50100</v>
      </c>
    </row>
    <row r="594" spans="1:11" x14ac:dyDescent="0.3">
      <c r="A594" t="s">
        <v>769</v>
      </c>
      <c r="B594" t="s">
        <v>114</v>
      </c>
      <c r="C594">
        <v>84</v>
      </c>
      <c r="D594" t="s">
        <v>12</v>
      </c>
      <c r="E594" t="s">
        <v>26</v>
      </c>
      <c r="F594" t="s">
        <v>14</v>
      </c>
      <c r="G594" s="5">
        <v>45926</v>
      </c>
      <c r="H594" t="str">
        <f t="shared" si="18"/>
        <v>September</v>
      </c>
      <c r="I594" s="5">
        <v>45936</v>
      </c>
      <c r="J594" s="7">
        <f t="shared" si="19"/>
        <v>10</v>
      </c>
      <c r="K594" s="6">
        <v>66970</v>
      </c>
    </row>
    <row r="595" spans="1:11" x14ac:dyDescent="0.3">
      <c r="A595" t="s">
        <v>770</v>
      </c>
      <c r="B595" t="s">
        <v>64</v>
      </c>
      <c r="C595">
        <v>84</v>
      </c>
      <c r="D595" t="s">
        <v>12</v>
      </c>
      <c r="E595" t="s">
        <v>13</v>
      </c>
      <c r="F595" t="s">
        <v>23</v>
      </c>
      <c r="G595" s="5">
        <v>45812</v>
      </c>
      <c r="H595" t="str">
        <f t="shared" si="18"/>
        <v>June</v>
      </c>
      <c r="I595" s="5">
        <v>45816</v>
      </c>
      <c r="J595" s="7">
        <f t="shared" si="19"/>
        <v>4</v>
      </c>
      <c r="K595" s="6">
        <v>43984</v>
      </c>
    </row>
    <row r="596" spans="1:11" x14ac:dyDescent="0.3">
      <c r="A596" t="s">
        <v>771</v>
      </c>
      <c r="B596" t="s">
        <v>21</v>
      </c>
      <c r="C596">
        <v>26</v>
      </c>
      <c r="D596" t="s">
        <v>17</v>
      </c>
      <c r="E596" t="s">
        <v>48</v>
      </c>
      <c r="F596" t="s">
        <v>14</v>
      </c>
      <c r="G596" s="5">
        <v>45772</v>
      </c>
      <c r="H596" t="str">
        <f t="shared" si="18"/>
        <v>April</v>
      </c>
      <c r="I596" s="5">
        <v>45781</v>
      </c>
      <c r="J596" s="7">
        <f t="shared" si="19"/>
        <v>9</v>
      </c>
      <c r="K596" s="6">
        <v>80982</v>
      </c>
    </row>
    <row r="597" spans="1:11" x14ac:dyDescent="0.3">
      <c r="A597" t="s">
        <v>772</v>
      </c>
      <c r="B597" t="s">
        <v>100</v>
      </c>
      <c r="C597">
        <v>70</v>
      </c>
      <c r="D597" t="s">
        <v>17</v>
      </c>
      <c r="E597" t="s">
        <v>26</v>
      </c>
      <c r="F597" t="s">
        <v>19</v>
      </c>
      <c r="G597" s="5">
        <v>45919</v>
      </c>
      <c r="H597" t="str">
        <f t="shared" si="18"/>
        <v>September</v>
      </c>
      <c r="I597" s="5">
        <v>45929</v>
      </c>
      <c r="J597" s="7">
        <f t="shared" si="19"/>
        <v>10</v>
      </c>
      <c r="K597" s="6">
        <v>89190</v>
      </c>
    </row>
    <row r="598" spans="1:11" x14ac:dyDescent="0.3">
      <c r="A598" t="s">
        <v>773</v>
      </c>
      <c r="B598" t="s">
        <v>178</v>
      </c>
      <c r="C598">
        <v>36</v>
      </c>
      <c r="D598" t="s">
        <v>12</v>
      </c>
      <c r="E598" t="s">
        <v>13</v>
      </c>
      <c r="F598" t="s">
        <v>59</v>
      </c>
      <c r="G598" s="5">
        <v>45885</v>
      </c>
      <c r="H598" t="str">
        <f t="shared" si="18"/>
        <v>August</v>
      </c>
      <c r="I598" s="5">
        <v>45898</v>
      </c>
      <c r="J598" s="7">
        <f t="shared" si="19"/>
        <v>13</v>
      </c>
      <c r="K598" s="6">
        <v>133419</v>
      </c>
    </row>
    <row r="599" spans="1:11" x14ac:dyDescent="0.3">
      <c r="A599" t="s">
        <v>774</v>
      </c>
      <c r="B599" t="s">
        <v>91</v>
      </c>
      <c r="C599">
        <v>69</v>
      </c>
      <c r="D599" t="s">
        <v>12</v>
      </c>
      <c r="E599" t="s">
        <v>13</v>
      </c>
      <c r="F599" t="s">
        <v>14</v>
      </c>
      <c r="G599" s="5">
        <v>45821</v>
      </c>
      <c r="H599" t="str">
        <f t="shared" si="18"/>
        <v>June</v>
      </c>
      <c r="I599" s="5">
        <v>45823</v>
      </c>
      <c r="J599" s="7">
        <f t="shared" si="19"/>
        <v>2</v>
      </c>
      <c r="K599" s="6">
        <v>13730</v>
      </c>
    </row>
    <row r="600" spans="1:11" x14ac:dyDescent="0.3">
      <c r="A600" t="s">
        <v>775</v>
      </c>
      <c r="B600" t="s">
        <v>118</v>
      </c>
      <c r="C600">
        <v>15</v>
      </c>
      <c r="D600" t="s">
        <v>17</v>
      </c>
      <c r="E600" t="s">
        <v>26</v>
      </c>
      <c r="F600" t="s">
        <v>59</v>
      </c>
      <c r="G600" s="5">
        <v>45972</v>
      </c>
      <c r="H600" t="str">
        <f t="shared" si="18"/>
        <v>November</v>
      </c>
      <c r="I600" s="5">
        <v>45987</v>
      </c>
      <c r="J600" s="7">
        <f t="shared" si="19"/>
        <v>15</v>
      </c>
      <c r="K600" s="6">
        <v>93120</v>
      </c>
    </row>
    <row r="601" spans="1:11" x14ac:dyDescent="0.3">
      <c r="A601" t="s">
        <v>776</v>
      </c>
      <c r="B601" t="s">
        <v>44</v>
      </c>
      <c r="C601">
        <v>11</v>
      </c>
      <c r="D601" t="s">
        <v>17</v>
      </c>
      <c r="E601" t="s">
        <v>13</v>
      </c>
      <c r="F601" t="s">
        <v>59</v>
      </c>
      <c r="G601" s="5">
        <v>45728</v>
      </c>
      <c r="H601" t="str">
        <f t="shared" si="18"/>
        <v>March</v>
      </c>
      <c r="I601" s="5">
        <v>45735</v>
      </c>
      <c r="J601" s="7">
        <f t="shared" si="19"/>
        <v>7</v>
      </c>
      <c r="K601" s="6">
        <v>33054</v>
      </c>
    </row>
    <row r="602" spans="1:11" x14ac:dyDescent="0.3">
      <c r="A602" t="s">
        <v>777</v>
      </c>
      <c r="B602" t="s">
        <v>445</v>
      </c>
      <c r="C602">
        <v>10</v>
      </c>
      <c r="D602" t="s">
        <v>12</v>
      </c>
      <c r="E602" t="s">
        <v>13</v>
      </c>
      <c r="F602" t="s">
        <v>23</v>
      </c>
      <c r="G602" s="5">
        <v>46009</v>
      </c>
      <c r="H602" t="str">
        <f t="shared" si="18"/>
        <v>December</v>
      </c>
      <c r="I602" s="5">
        <v>46017</v>
      </c>
      <c r="J602" s="7">
        <f t="shared" si="19"/>
        <v>8</v>
      </c>
      <c r="K602" s="6">
        <v>92288</v>
      </c>
    </row>
    <row r="603" spans="1:11" x14ac:dyDescent="0.3">
      <c r="A603" t="s">
        <v>778</v>
      </c>
      <c r="B603" t="s">
        <v>16</v>
      </c>
      <c r="C603">
        <v>65</v>
      </c>
      <c r="D603" t="s">
        <v>17</v>
      </c>
      <c r="E603" t="s">
        <v>45</v>
      </c>
      <c r="F603" t="s">
        <v>27</v>
      </c>
      <c r="G603" s="5">
        <v>45934</v>
      </c>
      <c r="H603" t="str">
        <f t="shared" si="18"/>
        <v>October</v>
      </c>
      <c r="I603" s="5">
        <v>45936</v>
      </c>
      <c r="J603" s="7">
        <f t="shared" si="19"/>
        <v>2</v>
      </c>
      <c r="K603" s="6">
        <v>11510</v>
      </c>
    </row>
    <row r="604" spans="1:11" x14ac:dyDescent="0.3">
      <c r="A604" t="s">
        <v>779</v>
      </c>
      <c r="B604" t="s">
        <v>297</v>
      </c>
      <c r="C604">
        <v>59</v>
      </c>
      <c r="D604" t="s">
        <v>12</v>
      </c>
      <c r="E604" t="s">
        <v>102</v>
      </c>
      <c r="F604" t="s">
        <v>34</v>
      </c>
      <c r="G604" s="5">
        <v>45726</v>
      </c>
      <c r="H604" t="str">
        <f t="shared" si="18"/>
        <v>March</v>
      </c>
      <c r="I604" s="5">
        <v>45739</v>
      </c>
      <c r="J604" s="7">
        <f t="shared" si="19"/>
        <v>13</v>
      </c>
      <c r="K604" s="6">
        <v>144092</v>
      </c>
    </row>
    <row r="605" spans="1:11" x14ac:dyDescent="0.3">
      <c r="A605" t="s">
        <v>780</v>
      </c>
      <c r="B605" t="s">
        <v>93</v>
      </c>
      <c r="C605">
        <v>47</v>
      </c>
      <c r="D605" t="s">
        <v>12</v>
      </c>
      <c r="E605" t="s">
        <v>22</v>
      </c>
      <c r="F605" t="s">
        <v>27</v>
      </c>
      <c r="G605" s="5">
        <v>45928</v>
      </c>
      <c r="H605" t="str">
        <f t="shared" si="18"/>
        <v>September</v>
      </c>
      <c r="I605" s="5">
        <v>45933</v>
      </c>
      <c r="J605" s="7">
        <f t="shared" si="19"/>
        <v>5</v>
      </c>
      <c r="K605" s="6">
        <v>58525</v>
      </c>
    </row>
    <row r="606" spans="1:11" x14ac:dyDescent="0.3">
      <c r="A606" t="s">
        <v>781</v>
      </c>
      <c r="B606" t="s">
        <v>114</v>
      </c>
      <c r="C606">
        <v>86</v>
      </c>
      <c r="D606" t="s">
        <v>12</v>
      </c>
      <c r="E606" t="s">
        <v>33</v>
      </c>
      <c r="F606" t="s">
        <v>34</v>
      </c>
      <c r="G606" s="5">
        <v>45756</v>
      </c>
      <c r="H606" t="str">
        <f t="shared" si="18"/>
        <v>April</v>
      </c>
      <c r="I606" s="5">
        <v>45771</v>
      </c>
      <c r="J606" s="7">
        <f t="shared" si="19"/>
        <v>15</v>
      </c>
      <c r="K606" s="6">
        <v>156840</v>
      </c>
    </row>
    <row r="607" spans="1:11" x14ac:dyDescent="0.3">
      <c r="A607" t="s">
        <v>782</v>
      </c>
      <c r="B607" t="s">
        <v>134</v>
      </c>
      <c r="C607">
        <v>18</v>
      </c>
      <c r="D607" t="s">
        <v>17</v>
      </c>
      <c r="E607" t="s">
        <v>39</v>
      </c>
      <c r="F607" t="s">
        <v>34</v>
      </c>
      <c r="G607" s="5">
        <v>45815</v>
      </c>
      <c r="H607" t="str">
        <f t="shared" si="18"/>
        <v>June</v>
      </c>
      <c r="I607" s="5">
        <v>45816</v>
      </c>
      <c r="J607" s="7">
        <f t="shared" si="19"/>
        <v>1</v>
      </c>
      <c r="K607" s="6">
        <v>10018</v>
      </c>
    </row>
    <row r="608" spans="1:11" x14ac:dyDescent="0.3">
      <c r="A608" t="s">
        <v>783</v>
      </c>
      <c r="B608" t="s">
        <v>275</v>
      </c>
      <c r="C608">
        <v>9</v>
      </c>
      <c r="D608" t="s">
        <v>17</v>
      </c>
      <c r="E608" t="s">
        <v>22</v>
      </c>
      <c r="F608" t="s">
        <v>59</v>
      </c>
      <c r="G608" s="5">
        <v>45694</v>
      </c>
      <c r="H608" t="str">
        <f t="shared" si="18"/>
        <v>February</v>
      </c>
      <c r="I608" s="5">
        <v>45699</v>
      </c>
      <c r="J608" s="7">
        <f t="shared" si="19"/>
        <v>5</v>
      </c>
      <c r="K608" s="6">
        <v>30815</v>
      </c>
    </row>
    <row r="609" spans="1:11" x14ac:dyDescent="0.3">
      <c r="A609" t="s">
        <v>784</v>
      </c>
      <c r="B609" t="s">
        <v>330</v>
      </c>
      <c r="C609">
        <v>90</v>
      </c>
      <c r="D609" t="s">
        <v>12</v>
      </c>
      <c r="E609" t="s">
        <v>26</v>
      </c>
      <c r="F609" t="s">
        <v>14</v>
      </c>
      <c r="G609" s="5">
        <v>45761</v>
      </c>
      <c r="H609" t="str">
        <f t="shared" si="18"/>
        <v>April</v>
      </c>
      <c r="I609" s="5">
        <v>45769</v>
      </c>
      <c r="J609" s="7">
        <f t="shared" si="19"/>
        <v>8</v>
      </c>
      <c r="K609" s="6">
        <v>45216</v>
      </c>
    </row>
    <row r="610" spans="1:11" x14ac:dyDescent="0.3">
      <c r="A610" t="s">
        <v>785</v>
      </c>
      <c r="B610" t="s">
        <v>168</v>
      </c>
      <c r="C610">
        <v>20</v>
      </c>
      <c r="D610" t="s">
        <v>12</v>
      </c>
      <c r="E610" t="s">
        <v>30</v>
      </c>
      <c r="F610" t="s">
        <v>19</v>
      </c>
      <c r="G610" s="5">
        <v>45698</v>
      </c>
      <c r="H610" t="str">
        <f t="shared" si="18"/>
        <v>February</v>
      </c>
      <c r="I610" s="5">
        <v>45704</v>
      </c>
      <c r="J610" s="7">
        <f t="shared" si="19"/>
        <v>6</v>
      </c>
      <c r="K610" s="6">
        <v>38520</v>
      </c>
    </row>
    <row r="611" spans="1:11" x14ac:dyDescent="0.3">
      <c r="A611" t="s">
        <v>786</v>
      </c>
      <c r="B611" t="s">
        <v>107</v>
      </c>
      <c r="C611">
        <v>30</v>
      </c>
      <c r="D611" t="s">
        <v>17</v>
      </c>
      <c r="E611" t="s">
        <v>22</v>
      </c>
      <c r="F611" t="s">
        <v>59</v>
      </c>
      <c r="G611" s="5">
        <v>45680</v>
      </c>
      <c r="H611" t="str">
        <f t="shared" si="18"/>
        <v>January</v>
      </c>
      <c r="I611" s="5">
        <v>45695</v>
      </c>
      <c r="J611" s="7">
        <f t="shared" si="19"/>
        <v>15</v>
      </c>
      <c r="K611" s="6">
        <v>85890</v>
      </c>
    </row>
    <row r="612" spans="1:11" x14ac:dyDescent="0.3">
      <c r="A612" t="s">
        <v>787</v>
      </c>
      <c r="B612" t="s">
        <v>134</v>
      </c>
      <c r="C612">
        <v>67</v>
      </c>
      <c r="D612" t="s">
        <v>12</v>
      </c>
      <c r="E612" t="s">
        <v>48</v>
      </c>
      <c r="F612" t="s">
        <v>34</v>
      </c>
      <c r="G612" s="5">
        <v>45790</v>
      </c>
      <c r="H612" t="str">
        <f t="shared" si="18"/>
        <v>May</v>
      </c>
      <c r="I612" s="5">
        <v>45796</v>
      </c>
      <c r="J612" s="7">
        <f t="shared" si="19"/>
        <v>6</v>
      </c>
      <c r="K612" s="6">
        <v>25332</v>
      </c>
    </row>
    <row r="613" spans="1:11" x14ac:dyDescent="0.3">
      <c r="A613" t="s">
        <v>788</v>
      </c>
      <c r="B613" t="s">
        <v>82</v>
      </c>
      <c r="C613">
        <v>3</v>
      </c>
      <c r="D613" t="s">
        <v>12</v>
      </c>
      <c r="E613" t="s">
        <v>13</v>
      </c>
      <c r="F613" t="s">
        <v>19</v>
      </c>
      <c r="G613" s="5">
        <v>45819</v>
      </c>
      <c r="H613" t="str">
        <f t="shared" si="18"/>
        <v>June</v>
      </c>
      <c r="I613" s="5">
        <v>45831</v>
      </c>
      <c r="J613" s="7">
        <f t="shared" si="19"/>
        <v>12</v>
      </c>
      <c r="K613" s="6">
        <v>133056</v>
      </c>
    </row>
    <row r="614" spans="1:11" x14ac:dyDescent="0.3">
      <c r="A614" t="s">
        <v>789</v>
      </c>
      <c r="B614" t="s">
        <v>267</v>
      </c>
      <c r="C614">
        <v>17</v>
      </c>
      <c r="D614" t="s">
        <v>17</v>
      </c>
      <c r="E614" t="s">
        <v>48</v>
      </c>
      <c r="F614" t="s">
        <v>34</v>
      </c>
      <c r="G614" s="5">
        <v>45729</v>
      </c>
      <c r="H614" t="str">
        <f t="shared" si="18"/>
        <v>March</v>
      </c>
      <c r="I614" s="5">
        <v>45731</v>
      </c>
      <c r="J614" s="7">
        <f t="shared" si="19"/>
        <v>2</v>
      </c>
      <c r="K614" s="6">
        <v>20074</v>
      </c>
    </row>
    <row r="615" spans="1:11" x14ac:dyDescent="0.3">
      <c r="A615" t="s">
        <v>790</v>
      </c>
      <c r="B615" t="s">
        <v>371</v>
      </c>
      <c r="C615">
        <v>29</v>
      </c>
      <c r="D615" t="s">
        <v>17</v>
      </c>
      <c r="E615" t="s">
        <v>102</v>
      </c>
      <c r="F615" t="s">
        <v>14</v>
      </c>
      <c r="G615" s="5">
        <v>45997</v>
      </c>
      <c r="H615" t="str">
        <f t="shared" si="18"/>
        <v>December</v>
      </c>
      <c r="I615" s="5">
        <v>46006</v>
      </c>
      <c r="J615" s="7">
        <f t="shared" si="19"/>
        <v>9</v>
      </c>
      <c r="K615" s="6">
        <v>82143</v>
      </c>
    </row>
    <row r="616" spans="1:11" x14ac:dyDescent="0.3">
      <c r="A616" t="s">
        <v>791</v>
      </c>
      <c r="B616" t="s">
        <v>792</v>
      </c>
      <c r="C616">
        <v>15</v>
      </c>
      <c r="D616" t="s">
        <v>12</v>
      </c>
      <c r="E616" t="s">
        <v>39</v>
      </c>
      <c r="F616" t="s">
        <v>14</v>
      </c>
      <c r="G616" s="5">
        <v>45869</v>
      </c>
      <c r="H616" t="str">
        <f t="shared" si="18"/>
        <v>July</v>
      </c>
      <c r="I616" s="5">
        <v>45874</v>
      </c>
      <c r="J616" s="7">
        <f t="shared" si="19"/>
        <v>5</v>
      </c>
      <c r="K616" s="6">
        <v>55545</v>
      </c>
    </row>
    <row r="617" spans="1:11" x14ac:dyDescent="0.3">
      <c r="A617" t="s">
        <v>793</v>
      </c>
      <c r="B617" t="s">
        <v>156</v>
      </c>
      <c r="C617">
        <v>82</v>
      </c>
      <c r="D617" t="s">
        <v>12</v>
      </c>
      <c r="E617" t="s">
        <v>30</v>
      </c>
      <c r="F617" t="s">
        <v>42</v>
      </c>
      <c r="G617" s="5">
        <v>45696</v>
      </c>
      <c r="H617" t="str">
        <f t="shared" si="18"/>
        <v>February</v>
      </c>
      <c r="I617" s="5">
        <v>45705</v>
      </c>
      <c r="J617" s="7">
        <f t="shared" si="19"/>
        <v>9</v>
      </c>
      <c r="K617" s="6">
        <v>92349</v>
      </c>
    </row>
    <row r="618" spans="1:11" x14ac:dyDescent="0.3">
      <c r="A618" t="s">
        <v>794</v>
      </c>
      <c r="B618" t="s">
        <v>275</v>
      </c>
      <c r="C618">
        <v>40</v>
      </c>
      <c r="D618" t="s">
        <v>17</v>
      </c>
      <c r="E618" t="s">
        <v>33</v>
      </c>
      <c r="F618" t="s">
        <v>34</v>
      </c>
      <c r="G618" s="5">
        <v>45813</v>
      </c>
      <c r="H618" t="str">
        <f t="shared" si="18"/>
        <v>June</v>
      </c>
      <c r="I618" s="5">
        <v>45820</v>
      </c>
      <c r="J618" s="7">
        <f t="shared" si="19"/>
        <v>7</v>
      </c>
      <c r="K618" s="6">
        <v>35868</v>
      </c>
    </row>
    <row r="619" spans="1:11" x14ac:dyDescent="0.3">
      <c r="A619" t="s">
        <v>795</v>
      </c>
      <c r="B619" t="s">
        <v>16</v>
      </c>
      <c r="C619">
        <v>54</v>
      </c>
      <c r="D619" t="s">
        <v>17</v>
      </c>
      <c r="E619" t="s">
        <v>45</v>
      </c>
      <c r="F619" t="s">
        <v>19</v>
      </c>
      <c r="G619" s="5">
        <v>45763</v>
      </c>
      <c r="H619" t="str">
        <f t="shared" si="18"/>
        <v>April</v>
      </c>
      <c r="I619" s="5">
        <v>45770</v>
      </c>
      <c r="J619" s="7">
        <f t="shared" si="19"/>
        <v>7</v>
      </c>
      <c r="K619" s="6">
        <v>76090</v>
      </c>
    </row>
    <row r="620" spans="1:11" x14ac:dyDescent="0.3">
      <c r="A620" t="s">
        <v>796</v>
      </c>
      <c r="B620" t="s">
        <v>21</v>
      </c>
      <c r="C620">
        <v>10</v>
      </c>
      <c r="D620" t="s">
        <v>17</v>
      </c>
      <c r="E620" t="s">
        <v>102</v>
      </c>
      <c r="F620" t="s">
        <v>62</v>
      </c>
      <c r="G620" s="5">
        <v>46008</v>
      </c>
      <c r="H620" t="str">
        <f t="shared" si="18"/>
        <v>December</v>
      </c>
      <c r="I620" s="5">
        <v>46015</v>
      </c>
      <c r="J620" s="7">
        <f t="shared" si="19"/>
        <v>7</v>
      </c>
      <c r="K620" s="6">
        <v>69447</v>
      </c>
    </row>
    <row r="621" spans="1:11" x14ac:dyDescent="0.3">
      <c r="A621" t="s">
        <v>797</v>
      </c>
      <c r="B621" t="s">
        <v>107</v>
      </c>
      <c r="C621">
        <v>87</v>
      </c>
      <c r="D621" t="s">
        <v>17</v>
      </c>
      <c r="E621" t="s">
        <v>22</v>
      </c>
      <c r="F621" t="s">
        <v>23</v>
      </c>
      <c r="G621" s="5">
        <v>45776</v>
      </c>
      <c r="H621" t="str">
        <f t="shared" si="18"/>
        <v>April</v>
      </c>
      <c r="I621" s="5">
        <v>45783</v>
      </c>
      <c r="J621" s="7">
        <f t="shared" si="19"/>
        <v>7</v>
      </c>
      <c r="K621" s="6">
        <v>48118</v>
      </c>
    </row>
    <row r="622" spans="1:11" x14ac:dyDescent="0.3">
      <c r="A622" t="s">
        <v>798</v>
      </c>
      <c r="B622" t="s">
        <v>334</v>
      </c>
      <c r="C622">
        <v>36</v>
      </c>
      <c r="D622" t="s">
        <v>12</v>
      </c>
      <c r="E622" t="s">
        <v>13</v>
      </c>
      <c r="F622" t="s">
        <v>14</v>
      </c>
      <c r="G622" s="5">
        <v>45963</v>
      </c>
      <c r="H622" t="str">
        <f t="shared" si="18"/>
        <v>November</v>
      </c>
      <c r="I622" s="5">
        <v>45967</v>
      </c>
      <c r="J622" s="7">
        <f t="shared" si="19"/>
        <v>4</v>
      </c>
      <c r="K622" s="6">
        <v>18240</v>
      </c>
    </row>
    <row r="623" spans="1:11" x14ac:dyDescent="0.3">
      <c r="A623" t="s">
        <v>799</v>
      </c>
      <c r="B623" t="s">
        <v>154</v>
      </c>
      <c r="C623">
        <v>86</v>
      </c>
      <c r="D623" t="s">
        <v>17</v>
      </c>
      <c r="E623" t="s">
        <v>30</v>
      </c>
      <c r="F623" t="s">
        <v>23</v>
      </c>
      <c r="G623" s="5">
        <v>45944</v>
      </c>
      <c r="H623" t="str">
        <f t="shared" si="18"/>
        <v>October</v>
      </c>
      <c r="I623" s="5">
        <v>45949</v>
      </c>
      <c r="J623" s="7">
        <f t="shared" si="19"/>
        <v>5</v>
      </c>
      <c r="K623" s="6">
        <v>56445</v>
      </c>
    </row>
    <row r="624" spans="1:11" x14ac:dyDescent="0.3">
      <c r="A624" t="s">
        <v>800</v>
      </c>
      <c r="B624" t="s">
        <v>148</v>
      </c>
      <c r="C624">
        <v>81</v>
      </c>
      <c r="D624" t="s">
        <v>12</v>
      </c>
      <c r="E624" t="s">
        <v>48</v>
      </c>
      <c r="F624" t="s">
        <v>23</v>
      </c>
      <c r="G624" s="5">
        <v>46008</v>
      </c>
      <c r="H624" t="str">
        <f t="shared" si="18"/>
        <v>December</v>
      </c>
      <c r="I624" s="5">
        <v>46014</v>
      </c>
      <c r="J624" s="7">
        <f t="shared" si="19"/>
        <v>6</v>
      </c>
      <c r="K624" s="6">
        <v>30882</v>
      </c>
    </row>
    <row r="625" spans="1:11" x14ac:dyDescent="0.3">
      <c r="A625" t="s">
        <v>801</v>
      </c>
      <c r="B625" t="s">
        <v>308</v>
      </c>
      <c r="C625">
        <v>61</v>
      </c>
      <c r="D625" t="s">
        <v>17</v>
      </c>
      <c r="E625" t="s">
        <v>102</v>
      </c>
      <c r="F625" t="s">
        <v>23</v>
      </c>
      <c r="G625" s="5">
        <v>45843</v>
      </c>
      <c r="H625" t="str">
        <f t="shared" si="18"/>
        <v>July</v>
      </c>
      <c r="I625" s="5">
        <v>45844</v>
      </c>
      <c r="J625" s="7">
        <f t="shared" si="19"/>
        <v>1</v>
      </c>
      <c r="K625" s="6">
        <v>11680</v>
      </c>
    </row>
    <row r="626" spans="1:11" x14ac:dyDescent="0.3">
      <c r="A626" t="s">
        <v>802</v>
      </c>
      <c r="B626" t="s">
        <v>554</v>
      </c>
      <c r="C626">
        <v>77</v>
      </c>
      <c r="D626" t="s">
        <v>12</v>
      </c>
      <c r="E626" t="s">
        <v>26</v>
      </c>
      <c r="F626" t="s">
        <v>42</v>
      </c>
      <c r="G626" s="5">
        <v>45904</v>
      </c>
      <c r="H626" t="str">
        <f t="shared" si="18"/>
        <v>September</v>
      </c>
      <c r="I626" s="5">
        <v>45913</v>
      </c>
      <c r="J626" s="7">
        <f t="shared" si="19"/>
        <v>9</v>
      </c>
      <c r="K626" s="6">
        <v>43290</v>
      </c>
    </row>
    <row r="627" spans="1:11" x14ac:dyDescent="0.3">
      <c r="A627" t="s">
        <v>803</v>
      </c>
      <c r="B627" t="s">
        <v>168</v>
      </c>
      <c r="C627">
        <v>41</v>
      </c>
      <c r="D627" t="s">
        <v>17</v>
      </c>
      <c r="E627" t="s">
        <v>33</v>
      </c>
      <c r="F627" t="s">
        <v>14</v>
      </c>
      <c r="G627" s="5">
        <v>45862</v>
      </c>
      <c r="H627" t="str">
        <f t="shared" si="18"/>
        <v>July</v>
      </c>
      <c r="I627" s="5">
        <v>45868</v>
      </c>
      <c r="J627" s="7">
        <f t="shared" si="19"/>
        <v>6</v>
      </c>
      <c r="K627" s="6">
        <v>43374</v>
      </c>
    </row>
    <row r="628" spans="1:11" x14ac:dyDescent="0.3">
      <c r="A628" t="s">
        <v>804</v>
      </c>
      <c r="B628" t="s">
        <v>249</v>
      </c>
      <c r="C628">
        <v>3</v>
      </c>
      <c r="D628" t="s">
        <v>17</v>
      </c>
      <c r="E628" t="s">
        <v>26</v>
      </c>
      <c r="F628" t="s">
        <v>19</v>
      </c>
      <c r="G628" s="5">
        <v>45735</v>
      </c>
      <c r="H628" t="str">
        <f t="shared" si="18"/>
        <v>March</v>
      </c>
      <c r="I628" s="5">
        <v>45740</v>
      </c>
      <c r="J628" s="7">
        <f t="shared" si="19"/>
        <v>5</v>
      </c>
      <c r="K628" s="6">
        <v>54815</v>
      </c>
    </row>
    <row r="629" spans="1:11" x14ac:dyDescent="0.3">
      <c r="A629" t="s">
        <v>805</v>
      </c>
      <c r="B629" t="s">
        <v>158</v>
      </c>
      <c r="C629">
        <v>50</v>
      </c>
      <c r="D629" t="s">
        <v>12</v>
      </c>
      <c r="E629" t="s">
        <v>33</v>
      </c>
      <c r="F629" t="s">
        <v>59</v>
      </c>
      <c r="G629" s="5">
        <v>45704</v>
      </c>
      <c r="H629" t="str">
        <f t="shared" si="18"/>
        <v>February</v>
      </c>
      <c r="I629" s="5">
        <v>45715</v>
      </c>
      <c r="J629" s="7">
        <f t="shared" si="19"/>
        <v>11</v>
      </c>
      <c r="K629" s="6">
        <v>113366</v>
      </c>
    </row>
    <row r="630" spans="1:11" x14ac:dyDescent="0.3">
      <c r="A630" t="s">
        <v>806</v>
      </c>
      <c r="B630" t="s">
        <v>154</v>
      </c>
      <c r="C630">
        <v>31</v>
      </c>
      <c r="D630" t="s">
        <v>12</v>
      </c>
      <c r="E630" t="s">
        <v>102</v>
      </c>
      <c r="F630" t="s">
        <v>14</v>
      </c>
      <c r="G630" s="5">
        <v>45799</v>
      </c>
      <c r="H630" t="str">
        <f t="shared" si="18"/>
        <v>May</v>
      </c>
      <c r="I630" s="5">
        <v>45812</v>
      </c>
      <c r="J630" s="7">
        <f t="shared" si="19"/>
        <v>13</v>
      </c>
      <c r="K630" s="6">
        <v>127296</v>
      </c>
    </row>
    <row r="631" spans="1:11" x14ac:dyDescent="0.3">
      <c r="A631" t="s">
        <v>807</v>
      </c>
      <c r="B631" t="s">
        <v>146</v>
      </c>
      <c r="C631">
        <v>44</v>
      </c>
      <c r="D631" t="s">
        <v>17</v>
      </c>
      <c r="E631" t="s">
        <v>22</v>
      </c>
      <c r="F631" t="s">
        <v>59</v>
      </c>
      <c r="G631" s="5">
        <v>45836</v>
      </c>
      <c r="H631" t="str">
        <f t="shared" si="18"/>
        <v>June</v>
      </c>
      <c r="I631" s="5">
        <v>45842</v>
      </c>
      <c r="J631" s="7">
        <f t="shared" si="19"/>
        <v>6</v>
      </c>
      <c r="K631" s="6">
        <v>39714</v>
      </c>
    </row>
    <row r="632" spans="1:11" x14ac:dyDescent="0.3">
      <c r="A632" t="s">
        <v>808</v>
      </c>
      <c r="B632" t="s">
        <v>379</v>
      </c>
      <c r="C632">
        <v>40</v>
      </c>
      <c r="D632" t="s">
        <v>17</v>
      </c>
      <c r="E632" t="s">
        <v>45</v>
      </c>
      <c r="F632" t="s">
        <v>27</v>
      </c>
      <c r="G632" s="5">
        <v>46007</v>
      </c>
      <c r="H632" t="str">
        <f t="shared" si="18"/>
        <v>December</v>
      </c>
      <c r="I632" s="5">
        <v>46022</v>
      </c>
      <c r="J632" s="7">
        <f t="shared" si="19"/>
        <v>15</v>
      </c>
      <c r="K632" s="6">
        <v>136110</v>
      </c>
    </row>
    <row r="633" spans="1:11" x14ac:dyDescent="0.3">
      <c r="A633" t="s">
        <v>809</v>
      </c>
      <c r="B633" t="s">
        <v>220</v>
      </c>
      <c r="C633">
        <v>84</v>
      </c>
      <c r="D633" t="s">
        <v>12</v>
      </c>
      <c r="E633" t="s">
        <v>30</v>
      </c>
      <c r="F633" t="s">
        <v>14</v>
      </c>
      <c r="G633" s="5">
        <v>45765</v>
      </c>
      <c r="H633" t="str">
        <f t="shared" si="18"/>
        <v>April</v>
      </c>
      <c r="I633" s="5">
        <v>45778</v>
      </c>
      <c r="J633" s="7">
        <f t="shared" si="19"/>
        <v>13</v>
      </c>
      <c r="K633" s="6">
        <v>129519</v>
      </c>
    </row>
    <row r="634" spans="1:11" x14ac:dyDescent="0.3">
      <c r="A634" t="s">
        <v>810</v>
      </c>
      <c r="B634" t="s">
        <v>325</v>
      </c>
      <c r="C634">
        <v>23</v>
      </c>
      <c r="D634" t="s">
        <v>17</v>
      </c>
      <c r="E634" t="s">
        <v>26</v>
      </c>
      <c r="F634" t="s">
        <v>14</v>
      </c>
      <c r="G634" s="5">
        <v>45942</v>
      </c>
      <c r="H634" t="str">
        <f t="shared" si="18"/>
        <v>October</v>
      </c>
      <c r="I634" s="5">
        <v>45943</v>
      </c>
      <c r="J634" s="7">
        <f t="shared" si="19"/>
        <v>1</v>
      </c>
      <c r="K634" s="6">
        <v>7958</v>
      </c>
    </row>
    <row r="635" spans="1:11" x14ac:dyDescent="0.3">
      <c r="A635" t="s">
        <v>811</v>
      </c>
      <c r="B635" t="s">
        <v>361</v>
      </c>
      <c r="C635">
        <v>57</v>
      </c>
      <c r="D635" t="s">
        <v>17</v>
      </c>
      <c r="E635" t="s">
        <v>18</v>
      </c>
      <c r="F635" t="s">
        <v>62</v>
      </c>
      <c r="G635" s="5">
        <v>45713</v>
      </c>
      <c r="H635" t="str">
        <f t="shared" si="18"/>
        <v>February</v>
      </c>
      <c r="I635" s="5">
        <v>45715</v>
      </c>
      <c r="J635" s="7">
        <f t="shared" si="19"/>
        <v>2</v>
      </c>
      <c r="K635" s="6">
        <v>20154</v>
      </c>
    </row>
    <row r="636" spans="1:11" x14ac:dyDescent="0.3">
      <c r="A636" t="s">
        <v>812</v>
      </c>
      <c r="B636" t="s">
        <v>178</v>
      </c>
      <c r="C636">
        <v>8</v>
      </c>
      <c r="D636" t="s">
        <v>17</v>
      </c>
      <c r="E636" t="s">
        <v>18</v>
      </c>
      <c r="F636" t="s">
        <v>59</v>
      </c>
      <c r="G636" s="5">
        <v>45764</v>
      </c>
      <c r="H636" t="str">
        <f t="shared" si="18"/>
        <v>April</v>
      </c>
      <c r="I636" s="5">
        <v>45775</v>
      </c>
      <c r="J636" s="7">
        <f t="shared" si="19"/>
        <v>11</v>
      </c>
      <c r="K636" s="6">
        <v>58993</v>
      </c>
    </row>
    <row r="637" spans="1:11" x14ac:dyDescent="0.3">
      <c r="A637" t="s">
        <v>813</v>
      </c>
      <c r="B637" t="s">
        <v>168</v>
      </c>
      <c r="C637">
        <v>40</v>
      </c>
      <c r="D637" t="s">
        <v>12</v>
      </c>
      <c r="E637" t="s">
        <v>13</v>
      </c>
      <c r="F637" t="s">
        <v>23</v>
      </c>
      <c r="G637" s="5">
        <v>45879</v>
      </c>
      <c r="H637" t="str">
        <f t="shared" si="18"/>
        <v>August</v>
      </c>
      <c r="I637" s="5">
        <v>45892</v>
      </c>
      <c r="J637" s="7">
        <f t="shared" si="19"/>
        <v>13</v>
      </c>
      <c r="K637" s="6">
        <v>143312</v>
      </c>
    </row>
    <row r="638" spans="1:11" x14ac:dyDescent="0.3">
      <c r="A638" t="s">
        <v>814</v>
      </c>
      <c r="B638" t="s">
        <v>455</v>
      </c>
      <c r="C638">
        <v>15</v>
      </c>
      <c r="D638" t="s">
        <v>17</v>
      </c>
      <c r="E638" t="s">
        <v>102</v>
      </c>
      <c r="F638" t="s">
        <v>27</v>
      </c>
      <c r="G638" s="5">
        <v>45666</v>
      </c>
      <c r="H638" t="str">
        <f t="shared" si="18"/>
        <v>January</v>
      </c>
      <c r="I638" s="5">
        <v>45670</v>
      </c>
      <c r="J638" s="7">
        <f t="shared" si="19"/>
        <v>4</v>
      </c>
      <c r="K638" s="6">
        <v>17372</v>
      </c>
    </row>
    <row r="639" spans="1:11" x14ac:dyDescent="0.3">
      <c r="A639" t="s">
        <v>815</v>
      </c>
      <c r="B639" t="s">
        <v>137</v>
      </c>
      <c r="C639">
        <v>11</v>
      </c>
      <c r="D639" t="s">
        <v>17</v>
      </c>
      <c r="E639" t="s">
        <v>26</v>
      </c>
      <c r="F639" t="s">
        <v>14</v>
      </c>
      <c r="G639" s="5">
        <v>45845</v>
      </c>
      <c r="H639" t="str">
        <f t="shared" si="18"/>
        <v>July</v>
      </c>
      <c r="I639" s="5">
        <v>45859</v>
      </c>
      <c r="J639" s="7">
        <f t="shared" si="19"/>
        <v>14</v>
      </c>
      <c r="K639" s="6">
        <v>107184</v>
      </c>
    </row>
    <row r="640" spans="1:11" x14ac:dyDescent="0.3">
      <c r="A640" t="s">
        <v>816</v>
      </c>
      <c r="B640" t="s">
        <v>626</v>
      </c>
      <c r="C640">
        <v>55</v>
      </c>
      <c r="D640" t="s">
        <v>12</v>
      </c>
      <c r="E640" t="s">
        <v>22</v>
      </c>
      <c r="F640" t="s">
        <v>27</v>
      </c>
      <c r="G640" s="5">
        <v>45940</v>
      </c>
      <c r="H640" t="str">
        <f t="shared" si="18"/>
        <v>October</v>
      </c>
      <c r="I640" s="5">
        <v>45948</v>
      </c>
      <c r="J640" s="7">
        <f t="shared" si="19"/>
        <v>8</v>
      </c>
      <c r="K640" s="6">
        <v>91064</v>
      </c>
    </row>
    <row r="641" spans="1:11" x14ac:dyDescent="0.3">
      <c r="A641" t="s">
        <v>817</v>
      </c>
      <c r="B641" t="s">
        <v>343</v>
      </c>
      <c r="C641">
        <v>83</v>
      </c>
      <c r="D641" t="s">
        <v>17</v>
      </c>
      <c r="E641" t="s">
        <v>13</v>
      </c>
      <c r="F641" t="s">
        <v>19</v>
      </c>
      <c r="G641" s="5">
        <v>45659</v>
      </c>
      <c r="H641" t="str">
        <f t="shared" si="18"/>
        <v>January</v>
      </c>
      <c r="I641" s="5">
        <v>45663</v>
      </c>
      <c r="J641" s="7">
        <f t="shared" si="19"/>
        <v>4</v>
      </c>
      <c r="K641" s="6">
        <v>30700</v>
      </c>
    </row>
    <row r="642" spans="1:11" x14ac:dyDescent="0.3">
      <c r="A642" t="s">
        <v>818</v>
      </c>
      <c r="B642" t="s">
        <v>54</v>
      </c>
      <c r="C642">
        <v>16</v>
      </c>
      <c r="D642" t="s">
        <v>12</v>
      </c>
      <c r="E642" t="s">
        <v>13</v>
      </c>
      <c r="F642" t="s">
        <v>62</v>
      </c>
      <c r="G642" s="5">
        <v>45919</v>
      </c>
      <c r="H642" t="str">
        <f t="shared" ref="H642:H705" si="20">TEXT(G642,"mmmm")</f>
        <v>September</v>
      </c>
      <c r="I642" s="5">
        <v>45928</v>
      </c>
      <c r="J642" s="7">
        <f t="shared" si="19"/>
        <v>9</v>
      </c>
      <c r="K642" s="6">
        <v>100611</v>
      </c>
    </row>
    <row r="643" spans="1:11" x14ac:dyDescent="0.3">
      <c r="A643" t="s">
        <v>819</v>
      </c>
      <c r="B643" t="s">
        <v>283</v>
      </c>
      <c r="C643">
        <v>62</v>
      </c>
      <c r="D643" t="s">
        <v>17</v>
      </c>
      <c r="E643" t="s">
        <v>18</v>
      </c>
      <c r="F643" t="s">
        <v>42</v>
      </c>
      <c r="G643" s="5">
        <v>45981</v>
      </c>
      <c r="H643" t="str">
        <f t="shared" si="20"/>
        <v>November</v>
      </c>
      <c r="I643" s="5">
        <v>45988</v>
      </c>
      <c r="J643" s="7">
        <f t="shared" ref="J643:J706" si="21">I643-G643</f>
        <v>7</v>
      </c>
      <c r="K643" s="6">
        <v>67620</v>
      </c>
    </row>
    <row r="644" spans="1:11" x14ac:dyDescent="0.3">
      <c r="A644" t="s">
        <v>820</v>
      </c>
      <c r="B644" t="s">
        <v>98</v>
      </c>
      <c r="C644">
        <v>45</v>
      </c>
      <c r="D644" t="s">
        <v>17</v>
      </c>
      <c r="E644" t="s">
        <v>13</v>
      </c>
      <c r="F644" t="s">
        <v>19</v>
      </c>
      <c r="G644" s="5">
        <v>45956</v>
      </c>
      <c r="H644" t="str">
        <f t="shared" si="20"/>
        <v>October</v>
      </c>
      <c r="I644" s="5">
        <v>45967</v>
      </c>
      <c r="J644" s="7">
        <f t="shared" si="21"/>
        <v>11</v>
      </c>
      <c r="K644" s="6">
        <v>47696</v>
      </c>
    </row>
    <row r="645" spans="1:11" x14ac:dyDescent="0.3">
      <c r="A645" t="s">
        <v>821</v>
      </c>
      <c r="B645" t="s">
        <v>44</v>
      </c>
      <c r="C645">
        <v>36</v>
      </c>
      <c r="D645" t="s">
        <v>12</v>
      </c>
      <c r="E645" t="s">
        <v>22</v>
      </c>
      <c r="F645" t="s">
        <v>42</v>
      </c>
      <c r="G645" s="5">
        <v>45762</v>
      </c>
      <c r="H645" t="str">
        <f t="shared" si="20"/>
        <v>April</v>
      </c>
      <c r="I645" s="5">
        <v>45768</v>
      </c>
      <c r="J645" s="7">
        <f t="shared" si="21"/>
        <v>6</v>
      </c>
      <c r="K645" s="6">
        <v>32958</v>
      </c>
    </row>
    <row r="646" spans="1:11" x14ac:dyDescent="0.3">
      <c r="A646" t="s">
        <v>822</v>
      </c>
      <c r="B646" t="s">
        <v>146</v>
      </c>
      <c r="C646">
        <v>11</v>
      </c>
      <c r="D646" t="s">
        <v>12</v>
      </c>
      <c r="E646" t="s">
        <v>22</v>
      </c>
      <c r="F646" t="s">
        <v>23</v>
      </c>
      <c r="G646" s="5">
        <v>45853</v>
      </c>
      <c r="H646" t="str">
        <f t="shared" si="20"/>
        <v>July</v>
      </c>
      <c r="I646" s="5">
        <v>45867</v>
      </c>
      <c r="J646" s="7">
        <f t="shared" si="21"/>
        <v>14</v>
      </c>
      <c r="K646" s="6">
        <v>107814</v>
      </c>
    </row>
    <row r="647" spans="1:11" x14ac:dyDescent="0.3">
      <c r="A647" t="s">
        <v>823</v>
      </c>
      <c r="B647" t="s">
        <v>176</v>
      </c>
      <c r="C647">
        <v>48</v>
      </c>
      <c r="D647" t="s">
        <v>12</v>
      </c>
      <c r="E647" t="s">
        <v>102</v>
      </c>
      <c r="F647" t="s">
        <v>23</v>
      </c>
      <c r="G647" s="5">
        <v>45747</v>
      </c>
      <c r="H647" t="str">
        <f t="shared" si="20"/>
        <v>March</v>
      </c>
      <c r="I647" s="5">
        <v>45755</v>
      </c>
      <c r="J647" s="7">
        <f t="shared" si="21"/>
        <v>8</v>
      </c>
      <c r="K647" s="6">
        <v>60560</v>
      </c>
    </row>
    <row r="648" spans="1:11" x14ac:dyDescent="0.3">
      <c r="A648" t="s">
        <v>824</v>
      </c>
      <c r="B648" t="s">
        <v>325</v>
      </c>
      <c r="C648">
        <v>19</v>
      </c>
      <c r="D648" t="s">
        <v>17</v>
      </c>
      <c r="E648" t="s">
        <v>22</v>
      </c>
      <c r="F648" t="s">
        <v>34</v>
      </c>
      <c r="G648" s="5">
        <v>45869</v>
      </c>
      <c r="H648" t="str">
        <f t="shared" si="20"/>
        <v>July</v>
      </c>
      <c r="I648" s="5">
        <v>45870</v>
      </c>
      <c r="J648" s="7">
        <f t="shared" si="21"/>
        <v>1</v>
      </c>
      <c r="K648" s="6">
        <v>10474</v>
      </c>
    </row>
    <row r="649" spans="1:11" x14ac:dyDescent="0.3">
      <c r="A649" t="s">
        <v>825</v>
      </c>
      <c r="B649" t="s">
        <v>86</v>
      </c>
      <c r="C649">
        <v>41</v>
      </c>
      <c r="D649" t="s">
        <v>12</v>
      </c>
      <c r="E649" t="s">
        <v>33</v>
      </c>
      <c r="F649" t="s">
        <v>62</v>
      </c>
      <c r="G649" s="5">
        <v>45986</v>
      </c>
      <c r="H649" t="str">
        <f t="shared" si="20"/>
        <v>November</v>
      </c>
      <c r="I649" s="5">
        <v>45991</v>
      </c>
      <c r="J649" s="7">
        <f t="shared" si="21"/>
        <v>5</v>
      </c>
      <c r="K649" s="6">
        <v>51060</v>
      </c>
    </row>
    <row r="650" spans="1:11" x14ac:dyDescent="0.3">
      <c r="A650" t="s">
        <v>826</v>
      </c>
      <c r="B650" t="s">
        <v>61</v>
      </c>
      <c r="C650">
        <v>4</v>
      </c>
      <c r="D650" t="s">
        <v>12</v>
      </c>
      <c r="E650" t="s">
        <v>102</v>
      </c>
      <c r="F650" t="s">
        <v>27</v>
      </c>
      <c r="G650" s="5">
        <v>45775</v>
      </c>
      <c r="H650" t="str">
        <f t="shared" si="20"/>
        <v>April</v>
      </c>
      <c r="I650" s="5">
        <v>45782</v>
      </c>
      <c r="J650" s="7">
        <f t="shared" si="21"/>
        <v>7</v>
      </c>
      <c r="K650" s="6">
        <v>55510</v>
      </c>
    </row>
    <row r="651" spans="1:11" x14ac:dyDescent="0.3">
      <c r="A651" t="s">
        <v>827</v>
      </c>
      <c r="B651" t="s">
        <v>602</v>
      </c>
      <c r="C651">
        <v>10</v>
      </c>
      <c r="D651" t="s">
        <v>12</v>
      </c>
      <c r="E651" t="s">
        <v>48</v>
      </c>
      <c r="F651" t="s">
        <v>42</v>
      </c>
      <c r="G651" s="5">
        <v>45753</v>
      </c>
      <c r="H651" t="str">
        <f t="shared" si="20"/>
        <v>April</v>
      </c>
      <c r="I651" s="5">
        <v>45755</v>
      </c>
      <c r="J651" s="7">
        <f t="shared" si="21"/>
        <v>2</v>
      </c>
      <c r="K651" s="6">
        <v>19618</v>
      </c>
    </row>
    <row r="652" spans="1:11" x14ac:dyDescent="0.3">
      <c r="A652" t="s">
        <v>828</v>
      </c>
      <c r="B652" t="s">
        <v>47</v>
      </c>
      <c r="C652">
        <v>42</v>
      </c>
      <c r="D652" t="s">
        <v>17</v>
      </c>
      <c r="E652" t="s">
        <v>102</v>
      </c>
      <c r="F652" t="s">
        <v>23</v>
      </c>
      <c r="G652" s="5">
        <v>45956</v>
      </c>
      <c r="H652" t="str">
        <f t="shared" si="20"/>
        <v>October</v>
      </c>
      <c r="I652" s="5">
        <v>45964</v>
      </c>
      <c r="J652" s="7">
        <f t="shared" si="21"/>
        <v>8</v>
      </c>
      <c r="K652" s="6">
        <v>47760</v>
      </c>
    </row>
    <row r="653" spans="1:11" x14ac:dyDescent="0.3">
      <c r="A653" t="s">
        <v>829</v>
      </c>
      <c r="B653" t="s">
        <v>203</v>
      </c>
      <c r="C653">
        <v>44</v>
      </c>
      <c r="D653" t="s">
        <v>17</v>
      </c>
      <c r="E653" t="s">
        <v>102</v>
      </c>
      <c r="F653" t="s">
        <v>62</v>
      </c>
      <c r="G653" s="5">
        <v>45862</v>
      </c>
      <c r="H653" t="str">
        <f t="shared" si="20"/>
        <v>July</v>
      </c>
      <c r="I653" s="5">
        <v>45863</v>
      </c>
      <c r="J653" s="7">
        <f t="shared" si="21"/>
        <v>1</v>
      </c>
      <c r="K653" s="6">
        <v>5406</v>
      </c>
    </row>
    <row r="654" spans="1:11" x14ac:dyDescent="0.3">
      <c r="A654" t="s">
        <v>830</v>
      </c>
      <c r="B654" t="s">
        <v>464</v>
      </c>
      <c r="C654">
        <v>41</v>
      </c>
      <c r="D654" t="s">
        <v>17</v>
      </c>
      <c r="E654" t="s">
        <v>45</v>
      </c>
      <c r="F654" t="s">
        <v>59</v>
      </c>
      <c r="G654" s="5">
        <v>45867</v>
      </c>
      <c r="H654" t="str">
        <f t="shared" si="20"/>
        <v>July</v>
      </c>
      <c r="I654" s="5">
        <v>45879</v>
      </c>
      <c r="J654" s="7">
        <f t="shared" si="21"/>
        <v>12</v>
      </c>
      <c r="K654" s="6">
        <v>55692</v>
      </c>
    </row>
    <row r="655" spans="1:11" x14ac:dyDescent="0.3">
      <c r="A655" t="s">
        <v>831</v>
      </c>
      <c r="B655" t="s">
        <v>118</v>
      </c>
      <c r="C655">
        <v>78</v>
      </c>
      <c r="D655" t="s">
        <v>12</v>
      </c>
      <c r="E655" t="s">
        <v>22</v>
      </c>
      <c r="F655" t="s">
        <v>14</v>
      </c>
      <c r="G655" s="5">
        <v>45950</v>
      </c>
      <c r="H655" t="str">
        <f t="shared" si="20"/>
        <v>October</v>
      </c>
      <c r="I655" s="5">
        <v>45961</v>
      </c>
      <c r="J655" s="7">
        <f t="shared" si="21"/>
        <v>11</v>
      </c>
      <c r="K655" s="6">
        <v>68849</v>
      </c>
    </row>
    <row r="656" spans="1:11" x14ac:dyDescent="0.3">
      <c r="A656" t="s">
        <v>832</v>
      </c>
      <c r="B656" t="s">
        <v>325</v>
      </c>
      <c r="C656">
        <v>75</v>
      </c>
      <c r="D656" t="s">
        <v>12</v>
      </c>
      <c r="E656" t="s">
        <v>22</v>
      </c>
      <c r="F656" t="s">
        <v>42</v>
      </c>
      <c r="G656" s="5">
        <v>45997</v>
      </c>
      <c r="H656" t="str">
        <f t="shared" si="20"/>
        <v>December</v>
      </c>
      <c r="I656" s="5">
        <v>46002</v>
      </c>
      <c r="J656" s="7">
        <f t="shared" si="21"/>
        <v>5</v>
      </c>
      <c r="K656" s="6">
        <v>30545</v>
      </c>
    </row>
    <row r="657" spans="1:11" x14ac:dyDescent="0.3">
      <c r="A657" t="s">
        <v>833</v>
      </c>
      <c r="B657" t="s">
        <v>185</v>
      </c>
      <c r="C657">
        <v>78</v>
      </c>
      <c r="D657" t="s">
        <v>12</v>
      </c>
      <c r="E657" t="s">
        <v>30</v>
      </c>
      <c r="F657" t="s">
        <v>14</v>
      </c>
      <c r="G657" s="5">
        <v>45725</v>
      </c>
      <c r="H657" t="str">
        <f t="shared" si="20"/>
        <v>March</v>
      </c>
      <c r="I657" s="5">
        <v>45734</v>
      </c>
      <c r="J657" s="7">
        <f t="shared" si="21"/>
        <v>9</v>
      </c>
      <c r="K657" s="6">
        <v>52938</v>
      </c>
    </row>
    <row r="658" spans="1:11" x14ac:dyDescent="0.3">
      <c r="A658" t="s">
        <v>834</v>
      </c>
      <c r="B658" t="s">
        <v>96</v>
      </c>
      <c r="C658">
        <v>26</v>
      </c>
      <c r="D658" t="s">
        <v>12</v>
      </c>
      <c r="E658" t="s">
        <v>48</v>
      </c>
      <c r="F658" t="s">
        <v>27</v>
      </c>
      <c r="G658" s="5">
        <v>45949</v>
      </c>
      <c r="H658" t="str">
        <f t="shared" si="20"/>
        <v>October</v>
      </c>
      <c r="I658" s="5">
        <v>45961</v>
      </c>
      <c r="J658" s="7">
        <f t="shared" si="21"/>
        <v>12</v>
      </c>
      <c r="K658" s="6">
        <v>56604</v>
      </c>
    </row>
    <row r="659" spans="1:11" x14ac:dyDescent="0.3">
      <c r="A659" t="s">
        <v>835</v>
      </c>
      <c r="B659" t="s">
        <v>247</v>
      </c>
      <c r="C659">
        <v>2</v>
      </c>
      <c r="D659" t="s">
        <v>12</v>
      </c>
      <c r="E659" t="s">
        <v>18</v>
      </c>
      <c r="F659" t="s">
        <v>59</v>
      </c>
      <c r="G659" s="5">
        <v>45784</v>
      </c>
      <c r="H659" t="str">
        <f t="shared" si="20"/>
        <v>May</v>
      </c>
      <c r="I659" s="5">
        <v>45786</v>
      </c>
      <c r="J659" s="7">
        <f t="shared" si="21"/>
        <v>2</v>
      </c>
      <c r="K659" s="6">
        <v>14714</v>
      </c>
    </row>
    <row r="660" spans="1:11" x14ac:dyDescent="0.3">
      <c r="A660" t="s">
        <v>836</v>
      </c>
      <c r="B660" t="s">
        <v>127</v>
      </c>
      <c r="C660">
        <v>79</v>
      </c>
      <c r="D660" t="s">
        <v>12</v>
      </c>
      <c r="E660" t="s">
        <v>33</v>
      </c>
      <c r="F660" t="s">
        <v>62</v>
      </c>
      <c r="G660" s="5">
        <v>45834</v>
      </c>
      <c r="H660" t="str">
        <f t="shared" si="20"/>
        <v>June</v>
      </c>
      <c r="I660" s="5">
        <v>45842</v>
      </c>
      <c r="J660" s="7">
        <f t="shared" si="21"/>
        <v>8</v>
      </c>
      <c r="K660" s="6">
        <v>77392</v>
      </c>
    </row>
    <row r="661" spans="1:11" x14ac:dyDescent="0.3">
      <c r="A661" t="s">
        <v>837</v>
      </c>
      <c r="B661" t="s">
        <v>366</v>
      </c>
      <c r="C661">
        <v>15</v>
      </c>
      <c r="D661" t="s">
        <v>17</v>
      </c>
      <c r="E661" t="s">
        <v>33</v>
      </c>
      <c r="F661" t="s">
        <v>42</v>
      </c>
      <c r="G661" s="5">
        <v>45678</v>
      </c>
      <c r="H661" t="str">
        <f t="shared" si="20"/>
        <v>January</v>
      </c>
      <c r="I661" s="5">
        <v>45684</v>
      </c>
      <c r="J661" s="7">
        <f t="shared" si="21"/>
        <v>6</v>
      </c>
      <c r="K661" s="6">
        <v>45516</v>
      </c>
    </row>
    <row r="662" spans="1:11" x14ac:dyDescent="0.3">
      <c r="A662" t="s">
        <v>838</v>
      </c>
      <c r="B662" t="s">
        <v>245</v>
      </c>
      <c r="C662">
        <v>73</v>
      </c>
      <c r="D662" t="s">
        <v>12</v>
      </c>
      <c r="E662" t="s">
        <v>18</v>
      </c>
      <c r="F662" t="s">
        <v>27</v>
      </c>
      <c r="G662" s="5">
        <v>46000</v>
      </c>
      <c r="H662" t="str">
        <f t="shared" si="20"/>
        <v>December</v>
      </c>
      <c r="I662" s="5">
        <v>46009</v>
      </c>
      <c r="J662" s="7">
        <f t="shared" si="21"/>
        <v>9</v>
      </c>
      <c r="K662" s="6">
        <v>48735</v>
      </c>
    </row>
    <row r="663" spans="1:11" x14ac:dyDescent="0.3">
      <c r="A663" t="s">
        <v>839</v>
      </c>
      <c r="B663" t="s">
        <v>712</v>
      </c>
      <c r="C663">
        <v>25</v>
      </c>
      <c r="D663" t="s">
        <v>17</v>
      </c>
      <c r="E663" t="s">
        <v>30</v>
      </c>
      <c r="F663" t="s">
        <v>34</v>
      </c>
      <c r="G663" s="5">
        <v>45917</v>
      </c>
      <c r="H663" t="str">
        <f t="shared" si="20"/>
        <v>September</v>
      </c>
      <c r="I663" s="5">
        <v>45923</v>
      </c>
      <c r="J663" s="7">
        <f t="shared" si="21"/>
        <v>6</v>
      </c>
      <c r="K663" s="6">
        <v>30294</v>
      </c>
    </row>
    <row r="664" spans="1:11" x14ac:dyDescent="0.3">
      <c r="A664" t="s">
        <v>840</v>
      </c>
      <c r="B664" t="s">
        <v>178</v>
      </c>
      <c r="C664">
        <v>2</v>
      </c>
      <c r="D664" t="s">
        <v>12</v>
      </c>
      <c r="E664" t="s">
        <v>48</v>
      </c>
      <c r="F664" t="s">
        <v>27</v>
      </c>
      <c r="G664" s="5">
        <v>45848</v>
      </c>
      <c r="H664" t="str">
        <f t="shared" si="20"/>
        <v>July</v>
      </c>
      <c r="I664" s="5">
        <v>45862</v>
      </c>
      <c r="J664" s="7">
        <f t="shared" si="21"/>
        <v>14</v>
      </c>
      <c r="K664" s="6">
        <v>77826</v>
      </c>
    </row>
    <row r="665" spans="1:11" x14ac:dyDescent="0.3">
      <c r="A665" t="s">
        <v>841</v>
      </c>
      <c r="B665" t="s">
        <v>176</v>
      </c>
      <c r="C665">
        <v>28</v>
      </c>
      <c r="D665" t="s">
        <v>17</v>
      </c>
      <c r="E665" t="s">
        <v>30</v>
      </c>
      <c r="F665" t="s">
        <v>42</v>
      </c>
      <c r="G665" s="5">
        <v>45921</v>
      </c>
      <c r="H665" t="str">
        <f t="shared" si="20"/>
        <v>September</v>
      </c>
      <c r="I665" s="5">
        <v>45923</v>
      </c>
      <c r="J665" s="7">
        <f t="shared" si="21"/>
        <v>2</v>
      </c>
      <c r="K665" s="6">
        <v>12586</v>
      </c>
    </row>
    <row r="666" spans="1:11" x14ac:dyDescent="0.3">
      <c r="A666" t="s">
        <v>842</v>
      </c>
      <c r="B666" t="s">
        <v>134</v>
      </c>
      <c r="C666">
        <v>87</v>
      </c>
      <c r="D666" t="s">
        <v>17</v>
      </c>
      <c r="E666" t="s">
        <v>30</v>
      </c>
      <c r="F666" t="s">
        <v>19</v>
      </c>
      <c r="G666" s="5">
        <v>45704</v>
      </c>
      <c r="H666" t="str">
        <f t="shared" si="20"/>
        <v>February</v>
      </c>
      <c r="I666" s="5">
        <v>45716</v>
      </c>
      <c r="J666" s="7">
        <f t="shared" si="21"/>
        <v>12</v>
      </c>
      <c r="K666" s="6">
        <v>49728</v>
      </c>
    </row>
    <row r="667" spans="1:11" x14ac:dyDescent="0.3">
      <c r="A667" t="s">
        <v>843</v>
      </c>
      <c r="B667" t="s">
        <v>93</v>
      </c>
      <c r="C667">
        <v>12</v>
      </c>
      <c r="D667" t="s">
        <v>12</v>
      </c>
      <c r="E667" t="s">
        <v>33</v>
      </c>
      <c r="F667" t="s">
        <v>59</v>
      </c>
      <c r="G667" s="5">
        <v>46010</v>
      </c>
      <c r="H667" t="str">
        <f t="shared" si="20"/>
        <v>December</v>
      </c>
      <c r="I667" s="5">
        <v>46018</v>
      </c>
      <c r="J667" s="7">
        <f t="shared" si="21"/>
        <v>8</v>
      </c>
      <c r="K667" s="6">
        <v>52080</v>
      </c>
    </row>
    <row r="668" spans="1:11" x14ac:dyDescent="0.3">
      <c r="A668" t="s">
        <v>844</v>
      </c>
      <c r="B668" t="s">
        <v>207</v>
      </c>
      <c r="C668">
        <v>77</v>
      </c>
      <c r="D668" t="s">
        <v>17</v>
      </c>
      <c r="E668" t="s">
        <v>102</v>
      </c>
      <c r="F668" t="s">
        <v>34</v>
      </c>
      <c r="G668" s="5">
        <v>45681</v>
      </c>
      <c r="H668" t="str">
        <f t="shared" si="20"/>
        <v>January</v>
      </c>
      <c r="I668" s="5">
        <v>45689</v>
      </c>
      <c r="J668" s="7">
        <f t="shared" si="21"/>
        <v>8</v>
      </c>
      <c r="K668" s="6">
        <v>34048</v>
      </c>
    </row>
    <row r="669" spans="1:11" x14ac:dyDescent="0.3">
      <c r="A669" t="s">
        <v>845</v>
      </c>
      <c r="B669" t="s">
        <v>176</v>
      </c>
      <c r="C669">
        <v>40</v>
      </c>
      <c r="D669" t="s">
        <v>17</v>
      </c>
      <c r="E669" t="s">
        <v>39</v>
      </c>
      <c r="F669" t="s">
        <v>62</v>
      </c>
      <c r="G669" s="5">
        <v>45799</v>
      </c>
      <c r="H669" t="str">
        <f t="shared" si="20"/>
        <v>May</v>
      </c>
      <c r="I669" s="5">
        <v>45814</v>
      </c>
      <c r="J669" s="7">
        <f t="shared" si="21"/>
        <v>15</v>
      </c>
      <c r="K669" s="6">
        <v>137565</v>
      </c>
    </row>
    <row r="670" spans="1:11" x14ac:dyDescent="0.3">
      <c r="A670" t="s">
        <v>846</v>
      </c>
      <c r="B670" t="s">
        <v>682</v>
      </c>
      <c r="C670">
        <v>9</v>
      </c>
      <c r="D670" t="s">
        <v>12</v>
      </c>
      <c r="E670" t="s">
        <v>45</v>
      </c>
      <c r="F670" t="s">
        <v>19</v>
      </c>
      <c r="G670" s="5">
        <v>45776</v>
      </c>
      <c r="H670" t="str">
        <f t="shared" si="20"/>
        <v>April</v>
      </c>
      <c r="I670" s="5">
        <v>45782</v>
      </c>
      <c r="J670" s="7">
        <f t="shared" si="21"/>
        <v>6</v>
      </c>
      <c r="K670" s="6">
        <v>50430</v>
      </c>
    </row>
    <row r="671" spans="1:11" x14ac:dyDescent="0.3">
      <c r="A671" t="s">
        <v>847</v>
      </c>
      <c r="B671" t="s">
        <v>325</v>
      </c>
      <c r="C671">
        <v>39</v>
      </c>
      <c r="D671" t="s">
        <v>12</v>
      </c>
      <c r="E671" t="s">
        <v>48</v>
      </c>
      <c r="F671" t="s">
        <v>27</v>
      </c>
      <c r="G671" s="5">
        <v>45846</v>
      </c>
      <c r="H671" t="str">
        <f t="shared" si="20"/>
        <v>July</v>
      </c>
      <c r="I671" s="5">
        <v>45856</v>
      </c>
      <c r="J671" s="7">
        <f t="shared" si="21"/>
        <v>10</v>
      </c>
      <c r="K671" s="6">
        <v>78910</v>
      </c>
    </row>
    <row r="672" spans="1:11" x14ac:dyDescent="0.3">
      <c r="A672" t="s">
        <v>848</v>
      </c>
      <c r="B672" t="s">
        <v>375</v>
      </c>
      <c r="C672">
        <v>14</v>
      </c>
      <c r="D672" t="s">
        <v>17</v>
      </c>
      <c r="E672" t="s">
        <v>102</v>
      </c>
      <c r="F672" t="s">
        <v>42</v>
      </c>
      <c r="G672" s="5">
        <v>45899</v>
      </c>
      <c r="H672" t="str">
        <f t="shared" si="20"/>
        <v>August</v>
      </c>
      <c r="I672" s="5">
        <v>45904</v>
      </c>
      <c r="J672" s="7">
        <f t="shared" si="21"/>
        <v>5</v>
      </c>
      <c r="K672" s="6">
        <v>34920</v>
      </c>
    </row>
    <row r="673" spans="1:11" x14ac:dyDescent="0.3">
      <c r="A673" t="s">
        <v>849</v>
      </c>
      <c r="B673" t="s">
        <v>68</v>
      </c>
      <c r="C673">
        <v>34</v>
      </c>
      <c r="D673" t="s">
        <v>12</v>
      </c>
      <c r="E673" t="s">
        <v>30</v>
      </c>
      <c r="F673" t="s">
        <v>23</v>
      </c>
      <c r="G673" s="5">
        <v>45868</v>
      </c>
      <c r="H673" t="str">
        <f t="shared" si="20"/>
        <v>July</v>
      </c>
      <c r="I673" s="5">
        <v>45880</v>
      </c>
      <c r="J673" s="7">
        <f t="shared" si="21"/>
        <v>12</v>
      </c>
      <c r="K673" s="6">
        <v>93804</v>
      </c>
    </row>
    <row r="674" spans="1:11" x14ac:dyDescent="0.3">
      <c r="A674" t="s">
        <v>850</v>
      </c>
      <c r="B674" t="s">
        <v>207</v>
      </c>
      <c r="C674">
        <v>34</v>
      </c>
      <c r="D674" t="s">
        <v>17</v>
      </c>
      <c r="E674" t="s">
        <v>13</v>
      </c>
      <c r="F674" t="s">
        <v>59</v>
      </c>
      <c r="G674" s="5">
        <v>45682</v>
      </c>
      <c r="H674" t="str">
        <f t="shared" si="20"/>
        <v>January</v>
      </c>
      <c r="I674" s="5">
        <v>45690</v>
      </c>
      <c r="J674" s="7">
        <f t="shared" si="21"/>
        <v>8</v>
      </c>
      <c r="K674" s="6">
        <v>49032</v>
      </c>
    </row>
    <row r="675" spans="1:11" x14ac:dyDescent="0.3">
      <c r="A675" t="s">
        <v>851</v>
      </c>
      <c r="B675" t="s">
        <v>322</v>
      </c>
      <c r="C675">
        <v>31</v>
      </c>
      <c r="D675" t="s">
        <v>12</v>
      </c>
      <c r="E675" t="s">
        <v>33</v>
      </c>
      <c r="F675" t="s">
        <v>23</v>
      </c>
      <c r="G675" s="5">
        <v>46010</v>
      </c>
      <c r="H675" t="str">
        <f t="shared" si="20"/>
        <v>December</v>
      </c>
      <c r="I675" s="5">
        <v>46012</v>
      </c>
      <c r="J675" s="7">
        <f t="shared" si="21"/>
        <v>2</v>
      </c>
      <c r="K675" s="6">
        <v>12054</v>
      </c>
    </row>
    <row r="676" spans="1:11" x14ac:dyDescent="0.3">
      <c r="A676" t="s">
        <v>852</v>
      </c>
      <c r="B676" t="s">
        <v>11</v>
      </c>
      <c r="C676">
        <v>89</v>
      </c>
      <c r="D676" t="s">
        <v>12</v>
      </c>
      <c r="E676" t="s">
        <v>102</v>
      </c>
      <c r="F676" t="s">
        <v>23</v>
      </c>
      <c r="G676" s="5">
        <v>45904</v>
      </c>
      <c r="H676" t="str">
        <f t="shared" si="20"/>
        <v>September</v>
      </c>
      <c r="I676" s="5">
        <v>45915</v>
      </c>
      <c r="J676" s="7">
        <f t="shared" si="21"/>
        <v>11</v>
      </c>
      <c r="K676" s="6">
        <v>130559</v>
      </c>
    </row>
    <row r="677" spans="1:11" x14ac:dyDescent="0.3">
      <c r="A677" t="s">
        <v>853</v>
      </c>
      <c r="B677" t="s">
        <v>107</v>
      </c>
      <c r="C677">
        <v>51</v>
      </c>
      <c r="D677" t="s">
        <v>12</v>
      </c>
      <c r="E677" t="s">
        <v>13</v>
      </c>
      <c r="F677" t="s">
        <v>27</v>
      </c>
      <c r="G677" s="5">
        <v>45970</v>
      </c>
      <c r="H677" t="str">
        <f t="shared" si="20"/>
        <v>November</v>
      </c>
      <c r="I677" s="5">
        <v>45977</v>
      </c>
      <c r="J677" s="7">
        <f t="shared" si="21"/>
        <v>7</v>
      </c>
      <c r="K677" s="6">
        <v>67872</v>
      </c>
    </row>
    <row r="678" spans="1:11" x14ac:dyDescent="0.3">
      <c r="A678" t="s">
        <v>854</v>
      </c>
      <c r="B678" t="s">
        <v>615</v>
      </c>
      <c r="C678">
        <v>46</v>
      </c>
      <c r="D678" t="s">
        <v>12</v>
      </c>
      <c r="E678" t="s">
        <v>33</v>
      </c>
      <c r="F678" t="s">
        <v>42</v>
      </c>
      <c r="G678" s="5">
        <v>45710</v>
      </c>
      <c r="H678" t="str">
        <f t="shared" si="20"/>
        <v>February</v>
      </c>
      <c r="I678" s="5">
        <v>45712</v>
      </c>
      <c r="J678" s="7">
        <f t="shared" si="21"/>
        <v>2</v>
      </c>
      <c r="K678" s="6">
        <v>20624</v>
      </c>
    </row>
    <row r="679" spans="1:11" x14ac:dyDescent="0.3">
      <c r="A679" t="s">
        <v>855</v>
      </c>
      <c r="B679" t="s">
        <v>209</v>
      </c>
      <c r="C679">
        <v>7</v>
      </c>
      <c r="D679" t="s">
        <v>17</v>
      </c>
      <c r="E679" t="s">
        <v>102</v>
      </c>
      <c r="F679" t="s">
        <v>59</v>
      </c>
      <c r="G679" s="5">
        <v>45809</v>
      </c>
      <c r="H679" t="str">
        <f t="shared" si="20"/>
        <v>June</v>
      </c>
      <c r="I679" s="5">
        <v>45822</v>
      </c>
      <c r="J679" s="7">
        <f t="shared" si="21"/>
        <v>13</v>
      </c>
      <c r="K679" s="6">
        <v>119548</v>
      </c>
    </row>
    <row r="680" spans="1:11" x14ac:dyDescent="0.3">
      <c r="A680" t="s">
        <v>856</v>
      </c>
      <c r="B680" t="s">
        <v>199</v>
      </c>
      <c r="C680">
        <v>65</v>
      </c>
      <c r="D680" t="s">
        <v>12</v>
      </c>
      <c r="E680" t="s">
        <v>30</v>
      </c>
      <c r="F680" t="s">
        <v>23</v>
      </c>
      <c r="G680" s="5">
        <v>45676</v>
      </c>
      <c r="H680" t="str">
        <f t="shared" si="20"/>
        <v>January</v>
      </c>
      <c r="I680" s="5">
        <v>45688</v>
      </c>
      <c r="J680" s="7">
        <f t="shared" si="21"/>
        <v>12</v>
      </c>
      <c r="K680" s="6">
        <v>76572</v>
      </c>
    </row>
    <row r="681" spans="1:11" x14ac:dyDescent="0.3">
      <c r="A681" t="s">
        <v>857</v>
      </c>
      <c r="B681" t="s">
        <v>247</v>
      </c>
      <c r="C681">
        <v>3</v>
      </c>
      <c r="D681" t="s">
        <v>12</v>
      </c>
      <c r="E681" t="s">
        <v>22</v>
      </c>
      <c r="F681" t="s">
        <v>34</v>
      </c>
      <c r="G681" s="5">
        <v>45676</v>
      </c>
      <c r="H681" t="str">
        <f t="shared" si="20"/>
        <v>January</v>
      </c>
      <c r="I681" s="5">
        <v>45681</v>
      </c>
      <c r="J681" s="7">
        <f t="shared" si="21"/>
        <v>5</v>
      </c>
      <c r="K681" s="6">
        <v>52675</v>
      </c>
    </row>
    <row r="682" spans="1:11" x14ac:dyDescent="0.3">
      <c r="A682" t="s">
        <v>858</v>
      </c>
      <c r="B682" t="s">
        <v>109</v>
      </c>
      <c r="C682">
        <v>27</v>
      </c>
      <c r="D682" t="s">
        <v>12</v>
      </c>
      <c r="E682" t="s">
        <v>48</v>
      </c>
      <c r="F682" t="s">
        <v>23</v>
      </c>
      <c r="G682" s="5">
        <v>45996</v>
      </c>
      <c r="H682" t="str">
        <f t="shared" si="20"/>
        <v>December</v>
      </c>
      <c r="I682" s="5">
        <v>46009</v>
      </c>
      <c r="J682" s="7">
        <f t="shared" si="21"/>
        <v>13</v>
      </c>
      <c r="K682" s="6">
        <v>155922</v>
      </c>
    </row>
    <row r="683" spans="1:11" x14ac:dyDescent="0.3">
      <c r="A683" t="s">
        <v>859</v>
      </c>
      <c r="B683" t="s">
        <v>426</v>
      </c>
      <c r="C683">
        <v>70</v>
      </c>
      <c r="D683" t="s">
        <v>12</v>
      </c>
      <c r="E683" t="s">
        <v>22</v>
      </c>
      <c r="F683" t="s">
        <v>59</v>
      </c>
      <c r="G683" s="5">
        <v>45918</v>
      </c>
      <c r="H683" t="str">
        <f t="shared" si="20"/>
        <v>September</v>
      </c>
      <c r="I683" s="5">
        <v>45929</v>
      </c>
      <c r="J683" s="7">
        <f t="shared" si="21"/>
        <v>11</v>
      </c>
      <c r="K683" s="6">
        <v>60830</v>
      </c>
    </row>
    <row r="684" spans="1:11" x14ac:dyDescent="0.3">
      <c r="A684" t="s">
        <v>860</v>
      </c>
      <c r="B684" t="s">
        <v>690</v>
      </c>
      <c r="C684">
        <v>79</v>
      </c>
      <c r="D684" t="s">
        <v>17</v>
      </c>
      <c r="E684" t="s">
        <v>33</v>
      </c>
      <c r="F684" t="s">
        <v>14</v>
      </c>
      <c r="G684" s="5">
        <v>45952</v>
      </c>
      <c r="H684" t="str">
        <f t="shared" si="20"/>
        <v>October</v>
      </c>
      <c r="I684" s="5">
        <v>45961</v>
      </c>
      <c r="J684" s="7">
        <f t="shared" si="21"/>
        <v>9</v>
      </c>
      <c r="K684" s="6">
        <v>36279</v>
      </c>
    </row>
    <row r="685" spans="1:11" x14ac:dyDescent="0.3">
      <c r="A685" t="s">
        <v>861</v>
      </c>
      <c r="B685" t="s">
        <v>116</v>
      </c>
      <c r="C685">
        <v>64</v>
      </c>
      <c r="D685" t="s">
        <v>17</v>
      </c>
      <c r="E685" t="s">
        <v>22</v>
      </c>
      <c r="F685" t="s">
        <v>34</v>
      </c>
      <c r="G685" s="5">
        <v>45893</v>
      </c>
      <c r="H685" t="str">
        <f t="shared" si="20"/>
        <v>August</v>
      </c>
      <c r="I685" s="5">
        <v>45902</v>
      </c>
      <c r="J685" s="7">
        <f t="shared" si="21"/>
        <v>9</v>
      </c>
      <c r="K685" s="6">
        <v>75942</v>
      </c>
    </row>
    <row r="686" spans="1:11" x14ac:dyDescent="0.3">
      <c r="A686" t="s">
        <v>862</v>
      </c>
      <c r="B686" t="s">
        <v>132</v>
      </c>
      <c r="C686">
        <v>40</v>
      </c>
      <c r="D686" t="s">
        <v>17</v>
      </c>
      <c r="E686" t="s">
        <v>33</v>
      </c>
      <c r="F686" t="s">
        <v>14</v>
      </c>
      <c r="G686" s="5">
        <v>45930</v>
      </c>
      <c r="H686" t="str">
        <f t="shared" si="20"/>
        <v>September</v>
      </c>
      <c r="I686" s="5">
        <v>45939</v>
      </c>
      <c r="J686" s="7">
        <f t="shared" si="21"/>
        <v>9</v>
      </c>
      <c r="K686" s="6">
        <v>51435</v>
      </c>
    </row>
    <row r="687" spans="1:11" x14ac:dyDescent="0.3">
      <c r="A687" t="s">
        <v>863</v>
      </c>
      <c r="B687" t="s">
        <v>74</v>
      </c>
      <c r="C687">
        <v>17</v>
      </c>
      <c r="D687" t="s">
        <v>17</v>
      </c>
      <c r="E687" t="s">
        <v>102</v>
      </c>
      <c r="F687" t="s">
        <v>59</v>
      </c>
      <c r="G687" s="5">
        <v>45683</v>
      </c>
      <c r="H687" t="str">
        <f t="shared" si="20"/>
        <v>January</v>
      </c>
      <c r="I687" s="5">
        <v>45688</v>
      </c>
      <c r="J687" s="7">
        <f t="shared" si="21"/>
        <v>5</v>
      </c>
      <c r="K687" s="6">
        <v>22540</v>
      </c>
    </row>
    <row r="688" spans="1:11" x14ac:dyDescent="0.3">
      <c r="A688" t="s">
        <v>864</v>
      </c>
      <c r="B688" t="s">
        <v>41</v>
      </c>
      <c r="C688">
        <v>79</v>
      </c>
      <c r="D688" t="s">
        <v>12</v>
      </c>
      <c r="E688" t="s">
        <v>45</v>
      </c>
      <c r="F688" t="s">
        <v>62</v>
      </c>
      <c r="G688" s="5">
        <v>46001</v>
      </c>
      <c r="H688" t="str">
        <f t="shared" si="20"/>
        <v>December</v>
      </c>
      <c r="I688" s="5">
        <v>46009</v>
      </c>
      <c r="J688" s="7">
        <f t="shared" si="21"/>
        <v>8</v>
      </c>
      <c r="K688" s="6">
        <v>76856</v>
      </c>
    </row>
    <row r="689" spans="1:11" x14ac:dyDescent="0.3">
      <c r="A689" t="s">
        <v>865</v>
      </c>
      <c r="B689" t="s">
        <v>66</v>
      </c>
      <c r="C689">
        <v>70</v>
      </c>
      <c r="D689" t="s">
        <v>17</v>
      </c>
      <c r="E689" t="s">
        <v>22</v>
      </c>
      <c r="F689" t="s">
        <v>59</v>
      </c>
      <c r="G689" s="5">
        <v>45841</v>
      </c>
      <c r="H689" t="str">
        <f t="shared" si="20"/>
        <v>July</v>
      </c>
      <c r="I689" s="5">
        <v>45846</v>
      </c>
      <c r="J689" s="7">
        <f t="shared" si="21"/>
        <v>5</v>
      </c>
      <c r="K689" s="6">
        <v>39915</v>
      </c>
    </row>
    <row r="690" spans="1:11" x14ac:dyDescent="0.3">
      <c r="A690" t="s">
        <v>866</v>
      </c>
      <c r="B690" t="s">
        <v>467</v>
      </c>
      <c r="C690">
        <v>29</v>
      </c>
      <c r="D690" t="s">
        <v>17</v>
      </c>
      <c r="E690" t="s">
        <v>39</v>
      </c>
      <c r="F690" t="s">
        <v>62</v>
      </c>
      <c r="G690" s="5">
        <v>45787</v>
      </c>
      <c r="H690" t="str">
        <f t="shared" si="20"/>
        <v>May</v>
      </c>
      <c r="I690" s="5">
        <v>45795</v>
      </c>
      <c r="J690" s="7">
        <f t="shared" si="21"/>
        <v>8</v>
      </c>
      <c r="K690" s="6">
        <v>56720</v>
      </c>
    </row>
    <row r="691" spans="1:11" x14ac:dyDescent="0.3">
      <c r="A691" t="s">
        <v>867</v>
      </c>
      <c r="B691" t="s">
        <v>114</v>
      </c>
      <c r="C691">
        <v>66</v>
      </c>
      <c r="D691" t="s">
        <v>17</v>
      </c>
      <c r="E691" t="s">
        <v>48</v>
      </c>
      <c r="F691" t="s">
        <v>42</v>
      </c>
      <c r="G691" s="5">
        <v>45766</v>
      </c>
      <c r="H691" t="str">
        <f t="shared" si="20"/>
        <v>April</v>
      </c>
      <c r="I691" s="5">
        <v>45779</v>
      </c>
      <c r="J691" s="7">
        <f t="shared" si="21"/>
        <v>13</v>
      </c>
      <c r="K691" s="6">
        <v>135473</v>
      </c>
    </row>
    <row r="692" spans="1:11" x14ac:dyDescent="0.3">
      <c r="A692" t="s">
        <v>868</v>
      </c>
      <c r="B692" t="s">
        <v>181</v>
      </c>
      <c r="C692">
        <v>16</v>
      </c>
      <c r="D692" t="s">
        <v>17</v>
      </c>
      <c r="E692" t="s">
        <v>45</v>
      </c>
      <c r="F692" t="s">
        <v>23</v>
      </c>
      <c r="G692" s="5">
        <v>45768</v>
      </c>
      <c r="H692" t="str">
        <f t="shared" si="20"/>
        <v>April</v>
      </c>
      <c r="I692" s="5">
        <v>45778</v>
      </c>
      <c r="J692" s="7">
        <f t="shared" si="21"/>
        <v>10</v>
      </c>
      <c r="K692" s="6">
        <v>81250</v>
      </c>
    </row>
    <row r="693" spans="1:11" x14ac:dyDescent="0.3">
      <c r="A693" t="s">
        <v>869</v>
      </c>
      <c r="B693" t="s">
        <v>419</v>
      </c>
      <c r="C693">
        <v>37</v>
      </c>
      <c r="D693" t="s">
        <v>17</v>
      </c>
      <c r="E693" t="s">
        <v>39</v>
      </c>
      <c r="F693" t="s">
        <v>14</v>
      </c>
      <c r="G693" s="5">
        <v>45751</v>
      </c>
      <c r="H693" t="str">
        <f t="shared" si="20"/>
        <v>April</v>
      </c>
      <c r="I693" s="5">
        <v>45755</v>
      </c>
      <c r="J693" s="7">
        <f t="shared" si="21"/>
        <v>4</v>
      </c>
      <c r="K693" s="6">
        <v>39000</v>
      </c>
    </row>
    <row r="694" spans="1:11" x14ac:dyDescent="0.3">
      <c r="A694" t="s">
        <v>870</v>
      </c>
      <c r="B694" t="s">
        <v>156</v>
      </c>
      <c r="C694">
        <v>39</v>
      </c>
      <c r="D694" t="s">
        <v>12</v>
      </c>
      <c r="E694" t="s">
        <v>18</v>
      </c>
      <c r="F694" t="s">
        <v>34</v>
      </c>
      <c r="G694" s="5">
        <v>45783</v>
      </c>
      <c r="H694" t="str">
        <f t="shared" si="20"/>
        <v>May</v>
      </c>
      <c r="I694" s="5">
        <v>45787</v>
      </c>
      <c r="J694" s="7">
        <f t="shared" si="21"/>
        <v>4</v>
      </c>
      <c r="K694" s="6">
        <v>30696</v>
      </c>
    </row>
    <row r="695" spans="1:11" x14ac:dyDescent="0.3">
      <c r="A695" t="s">
        <v>871</v>
      </c>
      <c r="B695" t="s">
        <v>371</v>
      </c>
      <c r="C695">
        <v>49</v>
      </c>
      <c r="D695" t="s">
        <v>12</v>
      </c>
      <c r="E695" t="s">
        <v>18</v>
      </c>
      <c r="F695" t="s">
        <v>59</v>
      </c>
      <c r="G695" s="5">
        <v>45810</v>
      </c>
      <c r="H695" t="str">
        <f t="shared" si="20"/>
        <v>June</v>
      </c>
      <c r="I695" s="5">
        <v>45816</v>
      </c>
      <c r="J695" s="7">
        <f t="shared" si="21"/>
        <v>6</v>
      </c>
      <c r="K695" s="6">
        <v>40644</v>
      </c>
    </row>
    <row r="696" spans="1:11" x14ac:dyDescent="0.3">
      <c r="A696" t="s">
        <v>872</v>
      </c>
      <c r="B696" t="s">
        <v>759</v>
      </c>
      <c r="C696">
        <v>63</v>
      </c>
      <c r="D696" t="s">
        <v>17</v>
      </c>
      <c r="E696" t="s">
        <v>18</v>
      </c>
      <c r="F696" t="s">
        <v>27</v>
      </c>
      <c r="G696" s="5">
        <v>45797</v>
      </c>
      <c r="H696" t="str">
        <f t="shared" si="20"/>
        <v>May</v>
      </c>
      <c r="I696" s="5">
        <v>45803</v>
      </c>
      <c r="J696" s="7">
        <f t="shared" si="21"/>
        <v>6</v>
      </c>
      <c r="K696" s="6">
        <v>45210</v>
      </c>
    </row>
    <row r="697" spans="1:11" x14ac:dyDescent="0.3">
      <c r="A697" t="s">
        <v>873</v>
      </c>
      <c r="B697" t="s">
        <v>301</v>
      </c>
      <c r="C697">
        <v>12</v>
      </c>
      <c r="D697" t="s">
        <v>17</v>
      </c>
      <c r="E697" t="s">
        <v>48</v>
      </c>
      <c r="F697" t="s">
        <v>59</v>
      </c>
      <c r="G697" s="5">
        <v>45919</v>
      </c>
      <c r="H697" t="str">
        <f t="shared" si="20"/>
        <v>September</v>
      </c>
      <c r="I697" s="5">
        <v>45932</v>
      </c>
      <c r="J697" s="7">
        <f t="shared" si="21"/>
        <v>13</v>
      </c>
      <c r="K697" s="6">
        <v>85098</v>
      </c>
    </row>
    <row r="698" spans="1:11" x14ac:dyDescent="0.3">
      <c r="A698" t="s">
        <v>874</v>
      </c>
      <c r="B698" t="s">
        <v>47</v>
      </c>
      <c r="C698">
        <v>66</v>
      </c>
      <c r="D698" t="s">
        <v>12</v>
      </c>
      <c r="E698" t="s">
        <v>22</v>
      </c>
      <c r="F698" t="s">
        <v>14</v>
      </c>
      <c r="G698" s="5">
        <v>45943</v>
      </c>
      <c r="H698" t="str">
        <f t="shared" si="20"/>
        <v>October</v>
      </c>
      <c r="I698" s="5">
        <v>45946</v>
      </c>
      <c r="J698" s="7">
        <f t="shared" si="21"/>
        <v>3</v>
      </c>
      <c r="K698" s="6">
        <v>17523</v>
      </c>
    </row>
    <row r="699" spans="1:11" x14ac:dyDescent="0.3">
      <c r="A699" t="s">
        <v>875</v>
      </c>
      <c r="B699" t="s">
        <v>207</v>
      </c>
      <c r="C699">
        <v>55</v>
      </c>
      <c r="D699" t="s">
        <v>12</v>
      </c>
      <c r="E699" t="s">
        <v>30</v>
      </c>
      <c r="F699" t="s">
        <v>23</v>
      </c>
      <c r="G699" s="5">
        <v>45859</v>
      </c>
      <c r="H699" t="str">
        <f t="shared" si="20"/>
        <v>July</v>
      </c>
      <c r="I699" s="5">
        <v>45860</v>
      </c>
      <c r="J699" s="7">
        <f t="shared" si="21"/>
        <v>1</v>
      </c>
      <c r="K699" s="6">
        <v>10280</v>
      </c>
    </row>
    <row r="700" spans="1:11" x14ac:dyDescent="0.3">
      <c r="A700" t="s">
        <v>876</v>
      </c>
      <c r="B700" t="s">
        <v>343</v>
      </c>
      <c r="C700">
        <v>47</v>
      </c>
      <c r="D700" t="s">
        <v>17</v>
      </c>
      <c r="E700" t="s">
        <v>39</v>
      </c>
      <c r="F700" t="s">
        <v>62</v>
      </c>
      <c r="G700" s="5">
        <v>45876</v>
      </c>
      <c r="H700" t="str">
        <f t="shared" si="20"/>
        <v>August</v>
      </c>
      <c r="I700" s="5">
        <v>45889</v>
      </c>
      <c r="J700" s="7">
        <f t="shared" si="21"/>
        <v>13</v>
      </c>
      <c r="K700" s="6">
        <v>147849</v>
      </c>
    </row>
    <row r="701" spans="1:11" x14ac:dyDescent="0.3">
      <c r="A701" t="s">
        <v>877</v>
      </c>
      <c r="B701" t="s">
        <v>118</v>
      </c>
      <c r="C701">
        <v>73</v>
      </c>
      <c r="D701" t="s">
        <v>17</v>
      </c>
      <c r="E701" t="s">
        <v>26</v>
      </c>
      <c r="F701" t="s">
        <v>42</v>
      </c>
      <c r="G701" s="5">
        <v>45964</v>
      </c>
      <c r="H701" t="str">
        <f t="shared" si="20"/>
        <v>November</v>
      </c>
      <c r="I701" s="5">
        <v>45974</v>
      </c>
      <c r="J701" s="7">
        <f t="shared" si="21"/>
        <v>10</v>
      </c>
      <c r="K701" s="6">
        <v>103930</v>
      </c>
    </row>
    <row r="702" spans="1:11" x14ac:dyDescent="0.3">
      <c r="A702" t="s">
        <v>878</v>
      </c>
      <c r="B702" t="s">
        <v>38</v>
      </c>
      <c r="C702">
        <v>86</v>
      </c>
      <c r="D702" t="s">
        <v>12</v>
      </c>
      <c r="E702" t="s">
        <v>13</v>
      </c>
      <c r="F702" t="s">
        <v>27</v>
      </c>
      <c r="G702" s="5">
        <v>45809</v>
      </c>
      <c r="H702" t="str">
        <f t="shared" si="20"/>
        <v>June</v>
      </c>
      <c r="I702" s="5">
        <v>45810</v>
      </c>
      <c r="J702" s="7">
        <f t="shared" si="21"/>
        <v>1</v>
      </c>
      <c r="K702" s="6">
        <v>10724</v>
      </c>
    </row>
    <row r="703" spans="1:11" x14ac:dyDescent="0.3">
      <c r="A703" t="s">
        <v>879</v>
      </c>
      <c r="B703" t="s">
        <v>283</v>
      </c>
      <c r="C703">
        <v>33</v>
      </c>
      <c r="D703" t="s">
        <v>17</v>
      </c>
      <c r="E703" t="s">
        <v>33</v>
      </c>
      <c r="F703" t="s">
        <v>27</v>
      </c>
      <c r="G703" s="5">
        <v>45821</v>
      </c>
      <c r="H703" t="str">
        <f t="shared" si="20"/>
        <v>June</v>
      </c>
      <c r="I703" s="5">
        <v>45824</v>
      </c>
      <c r="J703" s="7">
        <f t="shared" si="21"/>
        <v>3</v>
      </c>
      <c r="K703" s="6">
        <v>34629</v>
      </c>
    </row>
    <row r="704" spans="1:11" x14ac:dyDescent="0.3">
      <c r="A704" t="s">
        <v>880</v>
      </c>
      <c r="B704" t="s">
        <v>682</v>
      </c>
      <c r="C704">
        <v>18</v>
      </c>
      <c r="D704" t="s">
        <v>12</v>
      </c>
      <c r="E704" t="s">
        <v>22</v>
      </c>
      <c r="F704" t="s">
        <v>19</v>
      </c>
      <c r="G704" s="5">
        <v>45660</v>
      </c>
      <c r="H704" t="str">
        <f t="shared" si="20"/>
        <v>January</v>
      </c>
      <c r="I704" s="5">
        <v>45672</v>
      </c>
      <c r="J704" s="7">
        <f t="shared" si="21"/>
        <v>12</v>
      </c>
      <c r="K704" s="6">
        <v>131724</v>
      </c>
    </row>
    <row r="705" spans="1:11" x14ac:dyDescent="0.3">
      <c r="A705" t="s">
        <v>881</v>
      </c>
      <c r="B705" t="s">
        <v>84</v>
      </c>
      <c r="C705">
        <v>59</v>
      </c>
      <c r="D705" t="s">
        <v>12</v>
      </c>
      <c r="E705" t="s">
        <v>102</v>
      </c>
      <c r="F705" t="s">
        <v>42</v>
      </c>
      <c r="G705" s="5">
        <v>45954</v>
      </c>
      <c r="H705" t="str">
        <f t="shared" si="20"/>
        <v>October</v>
      </c>
      <c r="I705" s="5">
        <v>45962</v>
      </c>
      <c r="J705" s="7">
        <f t="shared" si="21"/>
        <v>8</v>
      </c>
      <c r="K705" s="6">
        <v>33176</v>
      </c>
    </row>
    <row r="706" spans="1:11" x14ac:dyDescent="0.3">
      <c r="A706" t="s">
        <v>882</v>
      </c>
      <c r="B706" t="s">
        <v>275</v>
      </c>
      <c r="C706">
        <v>18</v>
      </c>
      <c r="D706" t="s">
        <v>17</v>
      </c>
      <c r="E706" t="s">
        <v>39</v>
      </c>
      <c r="F706" t="s">
        <v>27</v>
      </c>
      <c r="G706" s="5">
        <v>45957</v>
      </c>
      <c r="H706" t="str">
        <f t="shared" ref="H706:H769" si="22">TEXT(G706,"mmmm")</f>
        <v>October</v>
      </c>
      <c r="I706" s="5">
        <v>45959</v>
      </c>
      <c r="J706" s="7">
        <f t="shared" si="21"/>
        <v>2</v>
      </c>
      <c r="K706" s="6">
        <v>11576</v>
      </c>
    </row>
    <row r="707" spans="1:11" x14ac:dyDescent="0.3">
      <c r="A707" t="s">
        <v>883</v>
      </c>
      <c r="B707" t="s">
        <v>61</v>
      </c>
      <c r="C707">
        <v>22</v>
      </c>
      <c r="D707" t="s">
        <v>17</v>
      </c>
      <c r="E707" t="s">
        <v>48</v>
      </c>
      <c r="F707" t="s">
        <v>62</v>
      </c>
      <c r="G707" s="5">
        <v>45957</v>
      </c>
      <c r="H707" t="str">
        <f t="shared" si="22"/>
        <v>October</v>
      </c>
      <c r="I707" s="5">
        <v>45965</v>
      </c>
      <c r="J707" s="7">
        <f t="shared" ref="J707:J770" si="23">I707-G707</f>
        <v>8</v>
      </c>
      <c r="K707" s="6">
        <v>53904</v>
      </c>
    </row>
    <row r="708" spans="1:11" x14ac:dyDescent="0.3">
      <c r="A708" t="s">
        <v>884</v>
      </c>
      <c r="B708" t="s">
        <v>118</v>
      </c>
      <c r="C708">
        <v>49</v>
      </c>
      <c r="D708" t="s">
        <v>17</v>
      </c>
      <c r="E708" t="s">
        <v>33</v>
      </c>
      <c r="F708" t="s">
        <v>62</v>
      </c>
      <c r="G708" s="5">
        <v>45719</v>
      </c>
      <c r="H708" t="str">
        <f t="shared" si="22"/>
        <v>March</v>
      </c>
      <c r="I708" s="5">
        <v>45734</v>
      </c>
      <c r="J708" s="7">
        <f t="shared" si="23"/>
        <v>15</v>
      </c>
      <c r="K708" s="6">
        <v>127155</v>
      </c>
    </row>
    <row r="709" spans="1:11" x14ac:dyDescent="0.3">
      <c r="A709" t="s">
        <v>885</v>
      </c>
      <c r="B709" t="s">
        <v>312</v>
      </c>
      <c r="C709">
        <v>18</v>
      </c>
      <c r="D709" t="s">
        <v>17</v>
      </c>
      <c r="E709" t="s">
        <v>13</v>
      </c>
      <c r="F709" t="s">
        <v>42</v>
      </c>
      <c r="G709" s="5">
        <v>45662</v>
      </c>
      <c r="H709" t="str">
        <f t="shared" si="22"/>
        <v>January</v>
      </c>
      <c r="I709" s="5">
        <v>45668</v>
      </c>
      <c r="J709" s="7">
        <f t="shared" si="23"/>
        <v>6</v>
      </c>
      <c r="K709" s="6">
        <v>44418</v>
      </c>
    </row>
    <row r="710" spans="1:11" x14ac:dyDescent="0.3">
      <c r="A710" t="s">
        <v>886</v>
      </c>
      <c r="B710" t="s">
        <v>151</v>
      </c>
      <c r="C710">
        <v>32</v>
      </c>
      <c r="D710" t="s">
        <v>12</v>
      </c>
      <c r="E710" t="s">
        <v>26</v>
      </c>
      <c r="F710" t="s">
        <v>19</v>
      </c>
      <c r="G710" s="5">
        <v>45865</v>
      </c>
      <c r="H710" t="str">
        <f t="shared" si="22"/>
        <v>July</v>
      </c>
      <c r="I710" s="5">
        <v>45874</v>
      </c>
      <c r="J710" s="7">
        <f t="shared" si="23"/>
        <v>9</v>
      </c>
      <c r="K710" s="6">
        <v>41580</v>
      </c>
    </row>
    <row r="711" spans="1:11" x14ac:dyDescent="0.3">
      <c r="A711" t="s">
        <v>887</v>
      </c>
      <c r="B711" t="s">
        <v>231</v>
      </c>
      <c r="C711">
        <v>73</v>
      </c>
      <c r="D711" t="s">
        <v>12</v>
      </c>
      <c r="E711" t="s">
        <v>26</v>
      </c>
      <c r="F711" t="s">
        <v>14</v>
      </c>
      <c r="G711" s="5">
        <v>45806</v>
      </c>
      <c r="H711" t="str">
        <f t="shared" si="22"/>
        <v>May</v>
      </c>
      <c r="I711" s="5">
        <v>45812</v>
      </c>
      <c r="J711" s="7">
        <f t="shared" si="23"/>
        <v>6</v>
      </c>
      <c r="K711" s="6">
        <v>29892</v>
      </c>
    </row>
    <row r="712" spans="1:11" x14ac:dyDescent="0.3">
      <c r="A712" t="s">
        <v>888</v>
      </c>
      <c r="B712" t="s">
        <v>100</v>
      </c>
      <c r="C712">
        <v>66</v>
      </c>
      <c r="D712" t="s">
        <v>12</v>
      </c>
      <c r="E712" t="s">
        <v>48</v>
      </c>
      <c r="F712" t="s">
        <v>34</v>
      </c>
      <c r="G712" s="5">
        <v>45910</v>
      </c>
      <c r="H712" t="str">
        <f t="shared" si="22"/>
        <v>September</v>
      </c>
      <c r="I712" s="5">
        <v>45923</v>
      </c>
      <c r="J712" s="7">
        <f t="shared" si="23"/>
        <v>13</v>
      </c>
      <c r="K712" s="6">
        <v>155987</v>
      </c>
    </row>
    <row r="713" spans="1:11" x14ac:dyDescent="0.3">
      <c r="A713" t="s">
        <v>889</v>
      </c>
      <c r="B713" t="s">
        <v>120</v>
      </c>
      <c r="C713">
        <v>26</v>
      </c>
      <c r="D713" t="s">
        <v>12</v>
      </c>
      <c r="E713" t="s">
        <v>39</v>
      </c>
      <c r="F713" t="s">
        <v>27</v>
      </c>
      <c r="G713" s="5">
        <v>45740</v>
      </c>
      <c r="H713" t="str">
        <f t="shared" si="22"/>
        <v>March</v>
      </c>
      <c r="I713" s="5">
        <v>45751</v>
      </c>
      <c r="J713" s="7">
        <f t="shared" si="23"/>
        <v>11</v>
      </c>
      <c r="K713" s="6">
        <v>63096</v>
      </c>
    </row>
    <row r="714" spans="1:11" x14ac:dyDescent="0.3">
      <c r="A714" t="s">
        <v>890</v>
      </c>
      <c r="B714" t="s">
        <v>125</v>
      </c>
      <c r="C714">
        <v>3</v>
      </c>
      <c r="D714" t="s">
        <v>17</v>
      </c>
      <c r="E714" t="s">
        <v>39</v>
      </c>
      <c r="F714" t="s">
        <v>62</v>
      </c>
      <c r="G714" s="5">
        <v>45886</v>
      </c>
      <c r="H714" t="str">
        <f t="shared" si="22"/>
        <v>August</v>
      </c>
      <c r="I714" s="5">
        <v>45894</v>
      </c>
      <c r="J714" s="7">
        <f t="shared" si="23"/>
        <v>8</v>
      </c>
      <c r="K714" s="6">
        <v>64184</v>
      </c>
    </row>
    <row r="715" spans="1:11" x14ac:dyDescent="0.3">
      <c r="A715" t="s">
        <v>891</v>
      </c>
      <c r="B715" t="s">
        <v>44</v>
      </c>
      <c r="C715">
        <v>74</v>
      </c>
      <c r="D715" t="s">
        <v>17</v>
      </c>
      <c r="E715" t="s">
        <v>39</v>
      </c>
      <c r="F715" t="s">
        <v>62</v>
      </c>
      <c r="G715" s="5">
        <v>45908</v>
      </c>
      <c r="H715" t="str">
        <f t="shared" si="22"/>
        <v>September</v>
      </c>
      <c r="I715" s="5">
        <v>45909</v>
      </c>
      <c r="J715" s="7">
        <f t="shared" si="23"/>
        <v>1</v>
      </c>
      <c r="K715" s="6">
        <v>8061</v>
      </c>
    </row>
    <row r="716" spans="1:11" x14ac:dyDescent="0.3">
      <c r="A716" t="s">
        <v>892</v>
      </c>
      <c r="B716" t="s">
        <v>96</v>
      </c>
      <c r="C716">
        <v>87</v>
      </c>
      <c r="D716" t="s">
        <v>17</v>
      </c>
      <c r="E716" t="s">
        <v>22</v>
      </c>
      <c r="F716" t="s">
        <v>14</v>
      </c>
      <c r="G716" s="5">
        <v>45682</v>
      </c>
      <c r="H716" t="str">
        <f t="shared" si="22"/>
        <v>January</v>
      </c>
      <c r="I716" s="5">
        <v>45684</v>
      </c>
      <c r="J716" s="7">
        <f t="shared" si="23"/>
        <v>2</v>
      </c>
      <c r="K716" s="6">
        <v>18980</v>
      </c>
    </row>
    <row r="717" spans="1:11" x14ac:dyDescent="0.3">
      <c r="A717" t="s">
        <v>893</v>
      </c>
      <c r="B717" t="s">
        <v>308</v>
      </c>
      <c r="C717">
        <v>10</v>
      </c>
      <c r="D717" t="s">
        <v>17</v>
      </c>
      <c r="E717" t="s">
        <v>102</v>
      </c>
      <c r="F717" t="s">
        <v>23</v>
      </c>
      <c r="G717" s="5">
        <v>45867</v>
      </c>
      <c r="H717" t="str">
        <f t="shared" si="22"/>
        <v>July</v>
      </c>
      <c r="I717" s="5">
        <v>45869</v>
      </c>
      <c r="J717" s="7">
        <f t="shared" si="23"/>
        <v>2</v>
      </c>
      <c r="K717" s="6">
        <v>13188</v>
      </c>
    </row>
    <row r="718" spans="1:11" x14ac:dyDescent="0.3">
      <c r="A718" t="s">
        <v>894</v>
      </c>
      <c r="B718" t="s">
        <v>130</v>
      </c>
      <c r="C718">
        <v>8</v>
      </c>
      <c r="D718" t="s">
        <v>12</v>
      </c>
      <c r="E718" t="s">
        <v>102</v>
      </c>
      <c r="F718" t="s">
        <v>27</v>
      </c>
      <c r="G718" s="5">
        <v>45678</v>
      </c>
      <c r="H718" t="str">
        <f t="shared" si="22"/>
        <v>January</v>
      </c>
      <c r="I718" s="5">
        <v>45683</v>
      </c>
      <c r="J718" s="7">
        <f t="shared" si="23"/>
        <v>5</v>
      </c>
      <c r="K718" s="6">
        <v>24740</v>
      </c>
    </row>
    <row r="719" spans="1:11" x14ac:dyDescent="0.3">
      <c r="A719" t="s">
        <v>895</v>
      </c>
      <c r="B719" t="s">
        <v>303</v>
      </c>
      <c r="C719">
        <v>46</v>
      </c>
      <c r="D719" t="s">
        <v>17</v>
      </c>
      <c r="E719" t="s">
        <v>102</v>
      </c>
      <c r="F719" t="s">
        <v>27</v>
      </c>
      <c r="G719" s="5">
        <v>45676</v>
      </c>
      <c r="H719" t="str">
        <f t="shared" si="22"/>
        <v>January</v>
      </c>
      <c r="I719" s="5">
        <v>45691</v>
      </c>
      <c r="J719" s="7">
        <f t="shared" si="23"/>
        <v>15</v>
      </c>
      <c r="K719" s="6">
        <v>66450</v>
      </c>
    </row>
    <row r="720" spans="1:11" x14ac:dyDescent="0.3">
      <c r="A720" t="s">
        <v>896</v>
      </c>
      <c r="B720" t="s">
        <v>130</v>
      </c>
      <c r="C720">
        <v>14</v>
      </c>
      <c r="D720" t="s">
        <v>12</v>
      </c>
      <c r="E720" t="s">
        <v>48</v>
      </c>
      <c r="F720" t="s">
        <v>23</v>
      </c>
      <c r="G720" s="5">
        <v>45685</v>
      </c>
      <c r="H720" t="str">
        <f t="shared" si="22"/>
        <v>January</v>
      </c>
      <c r="I720" s="5">
        <v>45699</v>
      </c>
      <c r="J720" s="7">
        <f t="shared" si="23"/>
        <v>14</v>
      </c>
      <c r="K720" s="6">
        <v>113358</v>
      </c>
    </row>
    <row r="721" spans="1:11" x14ac:dyDescent="0.3">
      <c r="A721" t="s">
        <v>897</v>
      </c>
      <c r="B721" t="s">
        <v>185</v>
      </c>
      <c r="C721">
        <v>5</v>
      </c>
      <c r="D721" t="s">
        <v>12</v>
      </c>
      <c r="E721" t="s">
        <v>45</v>
      </c>
      <c r="F721" t="s">
        <v>19</v>
      </c>
      <c r="G721" s="5">
        <v>46000</v>
      </c>
      <c r="H721" t="str">
        <f t="shared" si="22"/>
        <v>December</v>
      </c>
      <c r="I721" s="5">
        <v>46004</v>
      </c>
      <c r="J721" s="7">
        <f t="shared" si="23"/>
        <v>4</v>
      </c>
      <c r="K721" s="6">
        <v>32904</v>
      </c>
    </row>
    <row r="722" spans="1:11" x14ac:dyDescent="0.3">
      <c r="A722" t="s">
        <v>898</v>
      </c>
      <c r="B722" t="s">
        <v>162</v>
      </c>
      <c r="C722">
        <v>29</v>
      </c>
      <c r="D722" t="s">
        <v>17</v>
      </c>
      <c r="E722" t="s">
        <v>102</v>
      </c>
      <c r="F722" t="s">
        <v>62</v>
      </c>
      <c r="G722" s="5">
        <v>45890</v>
      </c>
      <c r="H722" t="str">
        <f t="shared" si="22"/>
        <v>August</v>
      </c>
      <c r="I722" s="5">
        <v>45895</v>
      </c>
      <c r="J722" s="7">
        <f t="shared" si="23"/>
        <v>5</v>
      </c>
      <c r="K722" s="6">
        <v>52080</v>
      </c>
    </row>
    <row r="723" spans="1:11" x14ac:dyDescent="0.3">
      <c r="A723" t="s">
        <v>899</v>
      </c>
      <c r="B723" t="s">
        <v>900</v>
      </c>
      <c r="C723">
        <v>90</v>
      </c>
      <c r="D723" t="s">
        <v>17</v>
      </c>
      <c r="E723" t="s">
        <v>26</v>
      </c>
      <c r="F723" t="s">
        <v>34</v>
      </c>
      <c r="G723" s="5">
        <v>45921</v>
      </c>
      <c r="H723" t="str">
        <f t="shared" si="22"/>
        <v>September</v>
      </c>
      <c r="I723" s="5">
        <v>45924</v>
      </c>
      <c r="J723" s="7">
        <f t="shared" si="23"/>
        <v>3</v>
      </c>
      <c r="K723" s="6">
        <v>14544</v>
      </c>
    </row>
    <row r="724" spans="1:11" x14ac:dyDescent="0.3">
      <c r="A724" t="s">
        <v>901</v>
      </c>
      <c r="B724" t="s">
        <v>792</v>
      </c>
      <c r="C724">
        <v>62</v>
      </c>
      <c r="D724" t="s">
        <v>12</v>
      </c>
      <c r="E724" t="s">
        <v>45</v>
      </c>
      <c r="F724" t="s">
        <v>27</v>
      </c>
      <c r="G724" s="5">
        <v>45722</v>
      </c>
      <c r="H724" t="str">
        <f t="shared" si="22"/>
        <v>March</v>
      </c>
      <c r="I724" s="5">
        <v>45734</v>
      </c>
      <c r="J724" s="7">
        <f t="shared" si="23"/>
        <v>12</v>
      </c>
      <c r="K724" s="6">
        <v>52044</v>
      </c>
    </row>
    <row r="725" spans="1:11" x14ac:dyDescent="0.3">
      <c r="A725" t="s">
        <v>902</v>
      </c>
      <c r="B725" t="s">
        <v>47</v>
      </c>
      <c r="C725">
        <v>90</v>
      </c>
      <c r="D725" t="s">
        <v>12</v>
      </c>
      <c r="E725" t="s">
        <v>48</v>
      </c>
      <c r="F725" t="s">
        <v>14</v>
      </c>
      <c r="G725" s="5">
        <v>45873</v>
      </c>
      <c r="H725" t="str">
        <f t="shared" si="22"/>
        <v>August</v>
      </c>
      <c r="I725" s="5">
        <v>45887</v>
      </c>
      <c r="J725" s="7">
        <f t="shared" si="23"/>
        <v>14</v>
      </c>
      <c r="K725" s="6">
        <v>130200</v>
      </c>
    </row>
    <row r="726" spans="1:11" x14ac:dyDescent="0.3">
      <c r="A726" t="s">
        <v>903</v>
      </c>
      <c r="B726" t="s">
        <v>74</v>
      </c>
      <c r="C726">
        <v>12</v>
      </c>
      <c r="D726" t="s">
        <v>12</v>
      </c>
      <c r="E726" t="s">
        <v>22</v>
      </c>
      <c r="F726" t="s">
        <v>14</v>
      </c>
      <c r="G726" s="5">
        <v>45661</v>
      </c>
      <c r="H726" t="str">
        <f t="shared" si="22"/>
        <v>January</v>
      </c>
      <c r="I726" s="5">
        <v>45676</v>
      </c>
      <c r="J726" s="7">
        <f t="shared" si="23"/>
        <v>15</v>
      </c>
      <c r="K726" s="6">
        <v>153480</v>
      </c>
    </row>
    <row r="727" spans="1:11" x14ac:dyDescent="0.3">
      <c r="A727" t="s">
        <v>904</v>
      </c>
      <c r="B727" t="s">
        <v>109</v>
      </c>
      <c r="C727">
        <v>4</v>
      </c>
      <c r="D727" t="s">
        <v>12</v>
      </c>
      <c r="E727" t="s">
        <v>18</v>
      </c>
      <c r="F727" t="s">
        <v>34</v>
      </c>
      <c r="G727" s="5">
        <v>46005</v>
      </c>
      <c r="H727" t="str">
        <f t="shared" si="22"/>
        <v>December</v>
      </c>
      <c r="I727" s="5">
        <v>46015</v>
      </c>
      <c r="J727" s="7">
        <f t="shared" si="23"/>
        <v>10</v>
      </c>
      <c r="K727" s="6">
        <v>86490</v>
      </c>
    </row>
    <row r="728" spans="1:11" x14ac:dyDescent="0.3">
      <c r="A728" t="s">
        <v>905</v>
      </c>
      <c r="B728" t="s">
        <v>366</v>
      </c>
      <c r="C728">
        <v>55</v>
      </c>
      <c r="D728" t="s">
        <v>12</v>
      </c>
      <c r="E728" t="s">
        <v>33</v>
      </c>
      <c r="F728" t="s">
        <v>59</v>
      </c>
      <c r="G728" s="5">
        <v>45791</v>
      </c>
      <c r="H728" t="str">
        <f t="shared" si="22"/>
        <v>May</v>
      </c>
      <c r="I728" s="5">
        <v>45805</v>
      </c>
      <c r="J728" s="7">
        <f t="shared" si="23"/>
        <v>14</v>
      </c>
      <c r="K728" s="6">
        <v>103824</v>
      </c>
    </row>
    <row r="729" spans="1:11" x14ac:dyDescent="0.3">
      <c r="A729" t="s">
        <v>906</v>
      </c>
      <c r="B729" t="s">
        <v>203</v>
      </c>
      <c r="C729">
        <v>72</v>
      </c>
      <c r="D729" t="s">
        <v>17</v>
      </c>
      <c r="E729" t="s">
        <v>26</v>
      </c>
      <c r="F729" t="s">
        <v>59</v>
      </c>
      <c r="G729" s="5">
        <v>45681</v>
      </c>
      <c r="H729" t="str">
        <f t="shared" si="22"/>
        <v>January</v>
      </c>
      <c r="I729" s="5">
        <v>45690</v>
      </c>
      <c r="J729" s="7">
        <f t="shared" si="23"/>
        <v>9</v>
      </c>
      <c r="K729" s="6">
        <v>52749</v>
      </c>
    </row>
    <row r="730" spans="1:11" x14ac:dyDescent="0.3">
      <c r="A730" t="s">
        <v>907</v>
      </c>
      <c r="B730" t="s">
        <v>196</v>
      </c>
      <c r="C730">
        <v>77</v>
      </c>
      <c r="D730" t="s">
        <v>17</v>
      </c>
      <c r="E730" t="s">
        <v>102</v>
      </c>
      <c r="F730" t="s">
        <v>23</v>
      </c>
      <c r="G730" s="5">
        <v>45850</v>
      </c>
      <c r="H730" t="str">
        <f t="shared" si="22"/>
        <v>July</v>
      </c>
      <c r="I730" s="5">
        <v>45851</v>
      </c>
      <c r="J730" s="7">
        <f t="shared" si="23"/>
        <v>1</v>
      </c>
      <c r="K730" s="6">
        <v>11784</v>
      </c>
    </row>
    <row r="731" spans="1:11" x14ac:dyDescent="0.3">
      <c r="A731" t="s">
        <v>908</v>
      </c>
      <c r="B731" t="s">
        <v>116</v>
      </c>
      <c r="C731">
        <v>9</v>
      </c>
      <c r="D731" t="s">
        <v>12</v>
      </c>
      <c r="E731" t="s">
        <v>45</v>
      </c>
      <c r="F731" t="s">
        <v>34</v>
      </c>
      <c r="G731" s="5">
        <v>45806</v>
      </c>
      <c r="H731" t="str">
        <f t="shared" si="22"/>
        <v>May</v>
      </c>
      <c r="I731" s="5">
        <v>45807</v>
      </c>
      <c r="J731" s="7">
        <f t="shared" si="23"/>
        <v>1</v>
      </c>
      <c r="K731" s="6">
        <v>10048</v>
      </c>
    </row>
    <row r="732" spans="1:11" x14ac:dyDescent="0.3">
      <c r="A732" t="s">
        <v>909</v>
      </c>
      <c r="B732" t="s">
        <v>550</v>
      </c>
      <c r="C732">
        <v>82</v>
      </c>
      <c r="D732" t="s">
        <v>17</v>
      </c>
      <c r="E732" t="s">
        <v>18</v>
      </c>
      <c r="F732" t="s">
        <v>42</v>
      </c>
      <c r="G732" s="5">
        <v>45969</v>
      </c>
      <c r="H732" t="str">
        <f t="shared" si="22"/>
        <v>November</v>
      </c>
      <c r="I732" s="5">
        <v>45975</v>
      </c>
      <c r="J732" s="7">
        <f t="shared" si="23"/>
        <v>6</v>
      </c>
      <c r="K732" s="6">
        <v>53256</v>
      </c>
    </row>
    <row r="733" spans="1:11" x14ac:dyDescent="0.3">
      <c r="A733" t="s">
        <v>910</v>
      </c>
      <c r="B733" t="s">
        <v>120</v>
      </c>
      <c r="C733">
        <v>68</v>
      </c>
      <c r="D733" t="s">
        <v>17</v>
      </c>
      <c r="E733" t="s">
        <v>13</v>
      </c>
      <c r="F733" t="s">
        <v>59</v>
      </c>
      <c r="G733" s="5">
        <v>45836</v>
      </c>
      <c r="H733" t="str">
        <f t="shared" si="22"/>
        <v>June</v>
      </c>
      <c r="I733" s="5">
        <v>45844</v>
      </c>
      <c r="J733" s="7">
        <f t="shared" si="23"/>
        <v>8</v>
      </c>
      <c r="K733" s="6">
        <v>78280</v>
      </c>
    </row>
    <row r="734" spans="1:11" x14ac:dyDescent="0.3">
      <c r="A734" t="s">
        <v>911</v>
      </c>
      <c r="B734" t="s">
        <v>107</v>
      </c>
      <c r="C734">
        <v>42</v>
      </c>
      <c r="D734" t="s">
        <v>17</v>
      </c>
      <c r="E734" t="s">
        <v>13</v>
      </c>
      <c r="F734" t="s">
        <v>34</v>
      </c>
      <c r="G734" s="5">
        <v>45953</v>
      </c>
      <c r="H734" t="str">
        <f t="shared" si="22"/>
        <v>October</v>
      </c>
      <c r="I734" s="5">
        <v>45960</v>
      </c>
      <c r="J734" s="7">
        <f t="shared" si="23"/>
        <v>7</v>
      </c>
      <c r="K734" s="6">
        <v>31591</v>
      </c>
    </row>
    <row r="735" spans="1:11" x14ac:dyDescent="0.3">
      <c r="A735" t="s">
        <v>912</v>
      </c>
      <c r="B735" t="s">
        <v>267</v>
      </c>
      <c r="C735">
        <v>9</v>
      </c>
      <c r="D735" t="s">
        <v>12</v>
      </c>
      <c r="E735" t="s">
        <v>48</v>
      </c>
      <c r="F735" t="s">
        <v>19</v>
      </c>
      <c r="G735" s="5">
        <v>45776</v>
      </c>
      <c r="H735" t="str">
        <f t="shared" si="22"/>
        <v>April</v>
      </c>
      <c r="I735" s="5">
        <v>45784</v>
      </c>
      <c r="J735" s="7">
        <f t="shared" si="23"/>
        <v>8</v>
      </c>
      <c r="K735" s="6">
        <v>92752</v>
      </c>
    </row>
    <row r="736" spans="1:11" x14ac:dyDescent="0.3">
      <c r="A736" t="s">
        <v>913</v>
      </c>
      <c r="B736" t="s">
        <v>283</v>
      </c>
      <c r="C736">
        <v>34</v>
      </c>
      <c r="D736" t="s">
        <v>12</v>
      </c>
      <c r="E736" t="s">
        <v>48</v>
      </c>
      <c r="F736" t="s">
        <v>27</v>
      </c>
      <c r="G736" s="5">
        <v>45753</v>
      </c>
      <c r="H736" t="str">
        <f t="shared" si="22"/>
        <v>April</v>
      </c>
      <c r="I736" s="5">
        <v>45762</v>
      </c>
      <c r="J736" s="7">
        <f t="shared" si="23"/>
        <v>9</v>
      </c>
      <c r="K736" s="6">
        <v>46494</v>
      </c>
    </row>
    <row r="737" spans="1:11" x14ac:dyDescent="0.3">
      <c r="A737" t="s">
        <v>914</v>
      </c>
      <c r="B737" t="s">
        <v>475</v>
      </c>
      <c r="C737">
        <v>61</v>
      </c>
      <c r="D737" t="s">
        <v>17</v>
      </c>
      <c r="E737" t="s">
        <v>22</v>
      </c>
      <c r="F737" t="s">
        <v>19</v>
      </c>
      <c r="G737" s="5">
        <v>45893</v>
      </c>
      <c r="H737" t="str">
        <f t="shared" si="22"/>
        <v>August</v>
      </c>
      <c r="I737" s="5">
        <v>45900</v>
      </c>
      <c r="J737" s="7">
        <f t="shared" si="23"/>
        <v>7</v>
      </c>
      <c r="K737" s="6">
        <v>80633</v>
      </c>
    </row>
    <row r="738" spans="1:11" x14ac:dyDescent="0.3">
      <c r="A738" t="s">
        <v>915</v>
      </c>
      <c r="B738" t="s">
        <v>330</v>
      </c>
      <c r="C738">
        <v>42</v>
      </c>
      <c r="D738" t="s">
        <v>17</v>
      </c>
      <c r="E738" t="s">
        <v>45</v>
      </c>
      <c r="F738" t="s">
        <v>19</v>
      </c>
      <c r="G738" s="5">
        <v>45948</v>
      </c>
      <c r="H738" t="str">
        <f t="shared" si="22"/>
        <v>October</v>
      </c>
      <c r="I738" s="5">
        <v>45955</v>
      </c>
      <c r="J738" s="7">
        <f t="shared" si="23"/>
        <v>7</v>
      </c>
      <c r="K738" s="6">
        <v>55454</v>
      </c>
    </row>
    <row r="739" spans="1:11" x14ac:dyDescent="0.3">
      <c r="A739" t="s">
        <v>916</v>
      </c>
      <c r="B739" t="s">
        <v>25</v>
      </c>
      <c r="C739">
        <v>65</v>
      </c>
      <c r="D739" t="s">
        <v>17</v>
      </c>
      <c r="E739" t="s">
        <v>18</v>
      </c>
      <c r="F739" t="s">
        <v>59</v>
      </c>
      <c r="G739" s="5">
        <v>45959</v>
      </c>
      <c r="H739" t="str">
        <f t="shared" si="22"/>
        <v>October</v>
      </c>
      <c r="I739" s="5">
        <v>45966</v>
      </c>
      <c r="J739" s="7">
        <f t="shared" si="23"/>
        <v>7</v>
      </c>
      <c r="K739" s="6">
        <v>59773</v>
      </c>
    </row>
    <row r="740" spans="1:11" x14ac:dyDescent="0.3">
      <c r="A740" t="s">
        <v>917</v>
      </c>
      <c r="B740" t="s">
        <v>72</v>
      </c>
      <c r="C740">
        <v>68</v>
      </c>
      <c r="D740" t="s">
        <v>12</v>
      </c>
      <c r="E740" t="s">
        <v>22</v>
      </c>
      <c r="F740" t="s">
        <v>19</v>
      </c>
      <c r="G740" s="5">
        <v>45866</v>
      </c>
      <c r="H740" t="str">
        <f t="shared" si="22"/>
        <v>July</v>
      </c>
      <c r="I740" s="5">
        <v>45873</v>
      </c>
      <c r="J740" s="7">
        <f t="shared" si="23"/>
        <v>7</v>
      </c>
      <c r="K740" s="6">
        <v>62559</v>
      </c>
    </row>
    <row r="741" spans="1:11" x14ac:dyDescent="0.3">
      <c r="A741" t="s">
        <v>918</v>
      </c>
      <c r="B741" t="s">
        <v>475</v>
      </c>
      <c r="C741">
        <v>26</v>
      </c>
      <c r="D741" t="s">
        <v>12</v>
      </c>
      <c r="E741" t="s">
        <v>45</v>
      </c>
      <c r="F741" t="s">
        <v>14</v>
      </c>
      <c r="G741" s="5">
        <v>45957</v>
      </c>
      <c r="H741" t="str">
        <f t="shared" si="22"/>
        <v>October</v>
      </c>
      <c r="I741" s="5">
        <v>45961</v>
      </c>
      <c r="J741" s="7">
        <f t="shared" si="23"/>
        <v>4</v>
      </c>
      <c r="K741" s="6">
        <v>36428</v>
      </c>
    </row>
    <row r="742" spans="1:11" x14ac:dyDescent="0.3">
      <c r="A742" t="s">
        <v>919</v>
      </c>
      <c r="B742" t="s">
        <v>690</v>
      </c>
      <c r="C742">
        <v>40</v>
      </c>
      <c r="D742" t="s">
        <v>17</v>
      </c>
      <c r="E742" t="s">
        <v>45</v>
      </c>
      <c r="F742" t="s">
        <v>27</v>
      </c>
      <c r="G742" s="5">
        <v>45915</v>
      </c>
      <c r="H742" t="str">
        <f t="shared" si="22"/>
        <v>September</v>
      </c>
      <c r="I742" s="5">
        <v>45922</v>
      </c>
      <c r="J742" s="7">
        <f t="shared" si="23"/>
        <v>7</v>
      </c>
      <c r="K742" s="6">
        <v>66675</v>
      </c>
    </row>
    <row r="743" spans="1:11" x14ac:dyDescent="0.3">
      <c r="A743" t="s">
        <v>920</v>
      </c>
      <c r="B743" t="s">
        <v>464</v>
      </c>
      <c r="C743">
        <v>71</v>
      </c>
      <c r="D743" t="s">
        <v>17</v>
      </c>
      <c r="E743" t="s">
        <v>48</v>
      </c>
      <c r="F743" t="s">
        <v>27</v>
      </c>
      <c r="G743" s="5">
        <v>45929</v>
      </c>
      <c r="H743" t="str">
        <f t="shared" si="22"/>
        <v>September</v>
      </c>
      <c r="I743" s="5">
        <v>45940</v>
      </c>
      <c r="J743" s="7">
        <f t="shared" si="23"/>
        <v>11</v>
      </c>
      <c r="K743" s="6">
        <v>115588</v>
      </c>
    </row>
    <row r="744" spans="1:11" x14ac:dyDescent="0.3">
      <c r="A744" t="s">
        <v>921</v>
      </c>
      <c r="B744" t="s">
        <v>98</v>
      </c>
      <c r="C744">
        <v>76</v>
      </c>
      <c r="D744" t="s">
        <v>12</v>
      </c>
      <c r="E744" t="s">
        <v>18</v>
      </c>
      <c r="F744" t="s">
        <v>19</v>
      </c>
      <c r="G744" s="5">
        <v>45991</v>
      </c>
      <c r="H744" t="str">
        <f t="shared" si="22"/>
        <v>November</v>
      </c>
      <c r="I744" s="5">
        <v>45995</v>
      </c>
      <c r="J744" s="7">
        <f t="shared" si="23"/>
        <v>4</v>
      </c>
      <c r="K744" s="6">
        <v>19060</v>
      </c>
    </row>
    <row r="745" spans="1:11" x14ac:dyDescent="0.3">
      <c r="A745" t="s">
        <v>922</v>
      </c>
      <c r="B745" t="s">
        <v>86</v>
      </c>
      <c r="C745">
        <v>9</v>
      </c>
      <c r="D745" t="s">
        <v>17</v>
      </c>
      <c r="E745" t="s">
        <v>22</v>
      </c>
      <c r="F745" t="s">
        <v>42</v>
      </c>
      <c r="G745" s="5">
        <v>45971</v>
      </c>
      <c r="H745" t="str">
        <f t="shared" si="22"/>
        <v>November</v>
      </c>
      <c r="I745" s="5">
        <v>45980</v>
      </c>
      <c r="J745" s="7">
        <f t="shared" si="23"/>
        <v>9</v>
      </c>
      <c r="K745" s="6">
        <v>41598</v>
      </c>
    </row>
    <row r="746" spans="1:11" x14ac:dyDescent="0.3">
      <c r="A746" t="s">
        <v>923</v>
      </c>
      <c r="B746" t="s">
        <v>68</v>
      </c>
      <c r="C746">
        <v>16</v>
      </c>
      <c r="D746" t="s">
        <v>12</v>
      </c>
      <c r="E746" t="s">
        <v>22</v>
      </c>
      <c r="F746" t="s">
        <v>19</v>
      </c>
      <c r="G746" s="5">
        <v>45691</v>
      </c>
      <c r="H746" t="str">
        <f t="shared" si="22"/>
        <v>February</v>
      </c>
      <c r="I746" s="5">
        <v>45692</v>
      </c>
      <c r="J746" s="7">
        <f t="shared" si="23"/>
        <v>1</v>
      </c>
      <c r="K746" s="6">
        <v>11211</v>
      </c>
    </row>
    <row r="747" spans="1:11" x14ac:dyDescent="0.3">
      <c r="A747" t="s">
        <v>924</v>
      </c>
      <c r="B747" t="s">
        <v>107</v>
      </c>
      <c r="C747">
        <v>28</v>
      </c>
      <c r="D747" t="s">
        <v>12</v>
      </c>
      <c r="E747" t="s">
        <v>45</v>
      </c>
      <c r="F747" t="s">
        <v>42</v>
      </c>
      <c r="G747" s="5">
        <v>45788</v>
      </c>
      <c r="H747" t="str">
        <f t="shared" si="22"/>
        <v>May</v>
      </c>
      <c r="I747" s="5">
        <v>45791</v>
      </c>
      <c r="J747" s="7">
        <f t="shared" si="23"/>
        <v>3</v>
      </c>
      <c r="K747" s="6">
        <v>32892</v>
      </c>
    </row>
    <row r="748" spans="1:11" x14ac:dyDescent="0.3">
      <c r="A748" t="s">
        <v>925</v>
      </c>
      <c r="B748" t="s">
        <v>428</v>
      </c>
      <c r="C748">
        <v>56</v>
      </c>
      <c r="D748" t="s">
        <v>17</v>
      </c>
      <c r="E748" t="s">
        <v>102</v>
      </c>
      <c r="F748" t="s">
        <v>27</v>
      </c>
      <c r="G748" s="5">
        <v>45979</v>
      </c>
      <c r="H748" t="str">
        <f t="shared" si="22"/>
        <v>November</v>
      </c>
      <c r="I748" s="5">
        <v>45987</v>
      </c>
      <c r="J748" s="7">
        <f t="shared" si="23"/>
        <v>8</v>
      </c>
      <c r="K748" s="6">
        <v>63712</v>
      </c>
    </row>
    <row r="749" spans="1:11" x14ac:dyDescent="0.3">
      <c r="A749" t="s">
        <v>926</v>
      </c>
      <c r="B749" t="s">
        <v>283</v>
      </c>
      <c r="C749">
        <v>13</v>
      </c>
      <c r="D749" t="s">
        <v>12</v>
      </c>
      <c r="E749" t="s">
        <v>13</v>
      </c>
      <c r="F749" t="s">
        <v>42</v>
      </c>
      <c r="G749" s="5">
        <v>45982</v>
      </c>
      <c r="H749" t="str">
        <f t="shared" si="22"/>
        <v>November</v>
      </c>
      <c r="I749" s="5">
        <v>45994</v>
      </c>
      <c r="J749" s="7">
        <f t="shared" si="23"/>
        <v>12</v>
      </c>
      <c r="K749" s="6">
        <v>75924</v>
      </c>
    </row>
    <row r="750" spans="1:11" x14ac:dyDescent="0.3">
      <c r="A750" t="s">
        <v>927</v>
      </c>
      <c r="B750" t="s">
        <v>220</v>
      </c>
      <c r="C750">
        <v>46</v>
      </c>
      <c r="D750" t="s">
        <v>12</v>
      </c>
      <c r="E750" t="s">
        <v>48</v>
      </c>
      <c r="F750" t="s">
        <v>27</v>
      </c>
      <c r="G750" s="5">
        <v>46010</v>
      </c>
      <c r="H750" t="str">
        <f t="shared" si="22"/>
        <v>December</v>
      </c>
      <c r="I750" s="5">
        <v>46014</v>
      </c>
      <c r="J750" s="7">
        <f t="shared" si="23"/>
        <v>4</v>
      </c>
      <c r="K750" s="6">
        <v>19328</v>
      </c>
    </row>
    <row r="751" spans="1:11" x14ac:dyDescent="0.3">
      <c r="A751" t="s">
        <v>928</v>
      </c>
      <c r="B751" t="s">
        <v>256</v>
      </c>
      <c r="C751">
        <v>53</v>
      </c>
      <c r="D751" t="s">
        <v>17</v>
      </c>
      <c r="E751" t="s">
        <v>18</v>
      </c>
      <c r="F751" t="s">
        <v>19</v>
      </c>
      <c r="G751" s="5">
        <v>45664</v>
      </c>
      <c r="H751" t="str">
        <f t="shared" si="22"/>
        <v>January</v>
      </c>
      <c r="I751" s="5">
        <v>45675</v>
      </c>
      <c r="J751" s="7">
        <f t="shared" si="23"/>
        <v>11</v>
      </c>
      <c r="K751" s="6">
        <v>86922</v>
      </c>
    </row>
    <row r="752" spans="1:11" x14ac:dyDescent="0.3">
      <c r="A752" t="s">
        <v>929</v>
      </c>
      <c r="B752" t="s">
        <v>325</v>
      </c>
      <c r="C752">
        <v>70</v>
      </c>
      <c r="D752" t="s">
        <v>12</v>
      </c>
      <c r="E752" t="s">
        <v>39</v>
      </c>
      <c r="F752" t="s">
        <v>23</v>
      </c>
      <c r="G752" s="5">
        <v>45844</v>
      </c>
      <c r="H752" t="str">
        <f t="shared" si="22"/>
        <v>July</v>
      </c>
      <c r="I752" s="5">
        <v>45846</v>
      </c>
      <c r="J752" s="7">
        <f t="shared" si="23"/>
        <v>2</v>
      </c>
      <c r="K752" s="6">
        <v>11636</v>
      </c>
    </row>
    <row r="753" spans="1:11" x14ac:dyDescent="0.3">
      <c r="A753" t="s">
        <v>930</v>
      </c>
      <c r="B753" t="s">
        <v>256</v>
      </c>
      <c r="C753">
        <v>70</v>
      </c>
      <c r="D753" t="s">
        <v>17</v>
      </c>
      <c r="E753" t="s">
        <v>39</v>
      </c>
      <c r="F753" t="s">
        <v>27</v>
      </c>
      <c r="G753" s="5">
        <v>45945</v>
      </c>
      <c r="H753" t="str">
        <f t="shared" si="22"/>
        <v>October</v>
      </c>
      <c r="I753" s="5">
        <v>45951</v>
      </c>
      <c r="J753" s="7">
        <f t="shared" si="23"/>
        <v>6</v>
      </c>
      <c r="K753" s="6">
        <v>63996</v>
      </c>
    </row>
    <row r="754" spans="1:11" x14ac:dyDescent="0.3">
      <c r="A754" t="s">
        <v>931</v>
      </c>
      <c r="B754" t="s">
        <v>160</v>
      </c>
      <c r="C754">
        <v>48</v>
      </c>
      <c r="D754" t="s">
        <v>17</v>
      </c>
      <c r="E754" t="s">
        <v>33</v>
      </c>
      <c r="F754" t="s">
        <v>23</v>
      </c>
      <c r="G754" s="5">
        <v>45750</v>
      </c>
      <c r="H754" t="str">
        <f t="shared" si="22"/>
        <v>April</v>
      </c>
      <c r="I754" s="5">
        <v>45751</v>
      </c>
      <c r="J754" s="7">
        <f t="shared" si="23"/>
        <v>1</v>
      </c>
      <c r="K754" s="6">
        <v>8631</v>
      </c>
    </row>
    <row r="755" spans="1:11" x14ac:dyDescent="0.3">
      <c r="A755" t="s">
        <v>932</v>
      </c>
      <c r="B755" t="s">
        <v>330</v>
      </c>
      <c r="C755">
        <v>73</v>
      </c>
      <c r="D755" t="s">
        <v>17</v>
      </c>
      <c r="E755" t="s">
        <v>33</v>
      </c>
      <c r="F755" t="s">
        <v>59</v>
      </c>
      <c r="G755" s="5">
        <v>45885</v>
      </c>
      <c r="H755" t="str">
        <f t="shared" si="22"/>
        <v>August</v>
      </c>
      <c r="I755" s="5">
        <v>45891</v>
      </c>
      <c r="J755" s="7">
        <f t="shared" si="23"/>
        <v>6</v>
      </c>
      <c r="K755" s="6">
        <v>71094</v>
      </c>
    </row>
    <row r="756" spans="1:11" x14ac:dyDescent="0.3">
      <c r="A756" t="s">
        <v>933</v>
      </c>
      <c r="B756" t="s">
        <v>390</v>
      </c>
      <c r="C756">
        <v>42</v>
      </c>
      <c r="D756" t="s">
        <v>12</v>
      </c>
      <c r="E756" t="s">
        <v>30</v>
      </c>
      <c r="F756" t="s">
        <v>27</v>
      </c>
      <c r="G756" s="5">
        <v>45862</v>
      </c>
      <c r="H756" t="str">
        <f t="shared" si="22"/>
        <v>July</v>
      </c>
      <c r="I756" s="5">
        <v>45872</v>
      </c>
      <c r="J756" s="7">
        <f t="shared" si="23"/>
        <v>10</v>
      </c>
      <c r="K756" s="6">
        <v>91350</v>
      </c>
    </row>
    <row r="757" spans="1:11" x14ac:dyDescent="0.3">
      <c r="A757" t="s">
        <v>934</v>
      </c>
      <c r="B757" t="s">
        <v>419</v>
      </c>
      <c r="C757">
        <v>59</v>
      </c>
      <c r="D757" t="s">
        <v>12</v>
      </c>
      <c r="E757" t="s">
        <v>18</v>
      </c>
      <c r="F757" t="s">
        <v>34</v>
      </c>
      <c r="G757" s="5">
        <v>45852</v>
      </c>
      <c r="H757" t="str">
        <f t="shared" si="22"/>
        <v>July</v>
      </c>
      <c r="I757" s="5">
        <v>45867</v>
      </c>
      <c r="J757" s="7">
        <f t="shared" si="23"/>
        <v>15</v>
      </c>
      <c r="K757" s="6">
        <v>172845</v>
      </c>
    </row>
    <row r="758" spans="1:11" x14ac:dyDescent="0.3">
      <c r="A758" t="s">
        <v>935</v>
      </c>
      <c r="B758" t="s">
        <v>164</v>
      </c>
      <c r="C758">
        <v>61</v>
      </c>
      <c r="D758" t="s">
        <v>17</v>
      </c>
      <c r="E758" t="s">
        <v>26</v>
      </c>
      <c r="F758" t="s">
        <v>62</v>
      </c>
      <c r="G758" s="5">
        <v>45758</v>
      </c>
      <c r="H758" t="str">
        <f t="shared" si="22"/>
        <v>April</v>
      </c>
      <c r="I758" s="5">
        <v>45772</v>
      </c>
      <c r="J758" s="7">
        <f t="shared" si="23"/>
        <v>14</v>
      </c>
      <c r="K758" s="6">
        <v>113442</v>
      </c>
    </row>
    <row r="759" spans="1:11" x14ac:dyDescent="0.3">
      <c r="A759" t="s">
        <v>936</v>
      </c>
      <c r="B759" t="s">
        <v>251</v>
      </c>
      <c r="C759">
        <v>67</v>
      </c>
      <c r="D759" t="s">
        <v>17</v>
      </c>
      <c r="E759" t="s">
        <v>45</v>
      </c>
      <c r="F759" t="s">
        <v>62</v>
      </c>
      <c r="G759" s="5">
        <v>45801</v>
      </c>
      <c r="H759" t="str">
        <f t="shared" si="22"/>
        <v>May</v>
      </c>
      <c r="I759" s="5">
        <v>45807</v>
      </c>
      <c r="J759" s="7">
        <f t="shared" si="23"/>
        <v>6</v>
      </c>
      <c r="K759" s="6">
        <v>68658</v>
      </c>
    </row>
    <row r="760" spans="1:11" x14ac:dyDescent="0.3">
      <c r="A760" t="s">
        <v>937</v>
      </c>
      <c r="B760" t="s">
        <v>464</v>
      </c>
      <c r="C760">
        <v>57</v>
      </c>
      <c r="D760" t="s">
        <v>12</v>
      </c>
      <c r="E760" t="s">
        <v>18</v>
      </c>
      <c r="F760" t="s">
        <v>34</v>
      </c>
      <c r="G760" s="5">
        <v>45799</v>
      </c>
      <c r="H760" t="str">
        <f t="shared" si="22"/>
        <v>May</v>
      </c>
      <c r="I760" s="5">
        <v>45811</v>
      </c>
      <c r="J760" s="7">
        <f t="shared" si="23"/>
        <v>12</v>
      </c>
      <c r="K760" s="6">
        <v>129564</v>
      </c>
    </row>
    <row r="761" spans="1:11" x14ac:dyDescent="0.3">
      <c r="A761" t="s">
        <v>938</v>
      </c>
      <c r="B761" t="s">
        <v>273</v>
      </c>
      <c r="C761">
        <v>55</v>
      </c>
      <c r="D761" t="s">
        <v>12</v>
      </c>
      <c r="E761" t="s">
        <v>22</v>
      </c>
      <c r="F761" t="s">
        <v>27</v>
      </c>
      <c r="G761" s="5">
        <v>45766</v>
      </c>
      <c r="H761" t="str">
        <f t="shared" si="22"/>
        <v>April</v>
      </c>
      <c r="I761" s="5">
        <v>45777</v>
      </c>
      <c r="J761" s="7">
        <f t="shared" si="23"/>
        <v>11</v>
      </c>
      <c r="K761" s="6">
        <v>50919</v>
      </c>
    </row>
    <row r="762" spans="1:11" x14ac:dyDescent="0.3">
      <c r="A762" t="s">
        <v>939</v>
      </c>
      <c r="B762" t="s">
        <v>118</v>
      </c>
      <c r="C762">
        <v>15</v>
      </c>
      <c r="D762" t="s">
        <v>12</v>
      </c>
      <c r="E762" t="s">
        <v>13</v>
      </c>
      <c r="F762" t="s">
        <v>62</v>
      </c>
      <c r="G762" s="5">
        <v>45935</v>
      </c>
      <c r="H762" t="str">
        <f t="shared" si="22"/>
        <v>October</v>
      </c>
      <c r="I762" s="5">
        <v>45937</v>
      </c>
      <c r="J762" s="7">
        <f t="shared" si="23"/>
        <v>2</v>
      </c>
      <c r="K762" s="6">
        <v>16648</v>
      </c>
    </row>
    <row r="763" spans="1:11" x14ac:dyDescent="0.3">
      <c r="A763" t="s">
        <v>940</v>
      </c>
      <c r="B763" t="s">
        <v>32</v>
      </c>
      <c r="C763">
        <v>26</v>
      </c>
      <c r="D763" t="s">
        <v>12</v>
      </c>
      <c r="E763" t="s">
        <v>26</v>
      </c>
      <c r="F763" t="s">
        <v>27</v>
      </c>
      <c r="G763" s="5">
        <v>45672</v>
      </c>
      <c r="H763" t="str">
        <f t="shared" si="22"/>
        <v>January</v>
      </c>
      <c r="I763" s="5">
        <v>45675</v>
      </c>
      <c r="J763" s="7">
        <f t="shared" si="23"/>
        <v>3</v>
      </c>
      <c r="K763" s="6">
        <v>20082</v>
      </c>
    </row>
    <row r="764" spans="1:11" x14ac:dyDescent="0.3">
      <c r="A764" t="s">
        <v>941</v>
      </c>
      <c r="B764" t="s">
        <v>16</v>
      </c>
      <c r="C764">
        <v>36</v>
      </c>
      <c r="D764" t="s">
        <v>12</v>
      </c>
      <c r="E764" t="s">
        <v>13</v>
      </c>
      <c r="F764" t="s">
        <v>14</v>
      </c>
      <c r="G764" s="5">
        <v>45988</v>
      </c>
      <c r="H764" t="str">
        <f t="shared" si="22"/>
        <v>November</v>
      </c>
      <c r="I764" s="5">
        <v>45997</v>
      </c>
      <c r="J764" s="7">
        <f t="shared" si="23"/>
        <v>9</v>
      </c>
      <c r="K764" s="6">
        <v>62343</v>
      </c>
    </row>
    <row r="765" spans="1:11" x14ac:dyDescent="0.3">
      <c r="A765" t="s">
        <v>942</v>
      </c>
      <c r="B765" t="s">
        <v>44</v>
      </c>
      <c r="C765">
        <v>2</v>
      </c>
      <c r="D765" t="s">
        <v>12</v>
      </c>
      <c r="E765" t="s">
        <v>18</v>
      </c>
      <c r="F765" t="s">
        <v>23</v>
      </c>
      <c r="G765" s="5">
        <v>45821</v>
      </c>
      <c r="H765" t="str">
        <f t="shared" si="22"/>
        <v>June</v>
      </c>
      <c r="I765" s="5">
        <v>45836</v>
      </c>
      <c r="J765" s="7">
        <f t="shared" si="23"/>
        <v>15</v>
      </c>
      <c r="K765" s="6">
        <v>157440</v>
      </c>
    </row>
    <row r="766" spans="1:11" x14ac:dyDescent="0.3">
      <c r="A766" t="s">
        <v>943</v>
      </c>
      <c r="B766" t="s">
        <v>66</v>
      </c>
      <c r="C766">
        <v>43</v>
      </c>
      <c r="D766" t="s">
        <v>12</v>
      </c>
      <c r="E766" t="s">
        <v>22</v>
      </c>
      <c r="F766" t="s">
        <v>27</v>
      </c>
      <c r="G766" s="5">
        <v>45689</v>
      </c>
      <c r="H766" t="str">
        <f t="shared" si="22"/>
        <v>February</v>
      </c>
      <c r="I766" s="5">
        <v>45698</v>
      </c>
      <c r="J766" s="7">
        <f t="shared" si="23"/>
        <v>9</v>
      </c>
      <c r="K766" s="6">
        <v>99198</v>
      </c>
    </row>
    <row r="767" spans="1:11" x14ac:dyDescent="0.3">
      <c r="A767" t="s">
        <v>944</v>
      </c>
      <c r="B767" t="s">
        <v>29</v>
      </c>
      <c r="C767">
        <v>23</v>
      </c>
      <c r="D767" t="s">
        <v>12</v>
      </c>
      <c r="E767" t="s">
        <v>45</v>
      </c>
      <c r="F767" t="s">
        <v>27</v>
      </c>
      <c r="G767" s="5">
        <v>45989</v>
      </c>
      <c r="H767" t="str">
        <f t="shared" si="22"/>
        <v>November</v>
      </c>
      <c r="I767" s="5">
        <v>45996</v>
      </c>
      <c r="J767" s="7">
        <f t="shared" si="23"/>
        <v>7</v>
      </c>
      <c r="K767" s="6">
        <v>66528</v>
      </c>
    </row>
    <row r="768" spans="1:11" x14ac:dyDescent="0.3">
      <c r="A768" t="s">
        <v>945</v>
      </c>
      <c r="B768" t="s">
        <v>377</v>
      </c>
      <c r="C768">
        <v>62</v>
      </c>
      <c r="D768" t="s">
        <v>17</v>
      </c>
      <c r="E768" t="s">
        <v>18</v>
      </c>
      <c r="F768" t="s">
        <v>27</v>
      </c>
      <c r="G768" s="5">
        <v>46022</v>
      </c>
      <c r="H768" t="str">
        <f t="shared" si="22"/>
        <v>December</v>
      </c>
      <c r="I768" s="5">
        <v>46037</v>
      </c>
      <c r="J768" s="7">
        <f t="shared" si="23"/>
        <v>15</v>
      </c>
      <c r="K768" s="6">
        <v>112320</v>
      </c>
    </row>
    <row r="769" spans="1:11" x14ac:dyDescent="0.3">
      <c r="A769" t="s">
        <v>946</v>
      </c>
      <c r="B769" t="s">
        <v>25</v>
      </c>
      <c r="C769">
        <v>30</v>
      </c>
      <c r="D769" t="s">
        <v>17</v>
      </c>
      <c r="E769" t="s">
        <v>45</v>
      </c>
      <c r="F769" t="s">
        <v>59</v>
      </c>
      <c r="G769" s="5">
        <v>45681</v>
      </c>
      <c r="H769" t="str">
        <f t="shared" si="22"/>
        <v>January</v>
      </c>
      <c r="I769" s="5">
        <v>45693</v>
      </c>
      <c r="J769" s="7">
        <f t="shared" si="23"/>
        <v>12</v>
      </c>
      <c r="K769" s="6">
        <v>76164</v>
      </c>
    </row>
    <row r="770" spans="1:11" x14ac:dyDescent="0.3">
      <c r="A770" t="s">
        <v>947</v>
      </c>
      <c r="B770" t="s">
        <v>130</v>
      </c>
      <c r="C770">
        <v>46</v>
      </c>
      <c r="D770" t="s">
        <v>17</v>
      </c>
      <c r="E770" t="s">
        <v>26</v>
      </c>
      <c r="F770" t="s">
        <v>59</v>
      </c>
      <c r="G770" s="5">
        <v>45948</v>
      </c>
      <c r="H770" t="str">
        <f t="shared" ref="H770:H833" si="24">TEXT(G770,"mmmm")</f>
        <v>October</v>
      </c>
      <c r="I770" s="5">
        <v>45953</v>
      </c>
      <c r="J770" s="7">
        <f t="shared" si="23"/>
        <v>5</v>
      </c>
      <c r="K770" s="6">
        <v>55100</v>
      </c>
    </row>
    <row r="771" spans="1:11" x14ac:dyDescent="0.3">
      <c r="A771" t="s">
        <v>948</v>
      </c>
      <c r="B771" t="s">
        <v>98</v>
      </c>
      <c r="C771">
        <v>59</v>
      </c>
      <c r="D771" t="s">
        <v>17</v>
      </c>
      <c r="E771" t="s">
        <v>13</v>
      </c>
      <c r="F771" t="s">
        <v>34</v>
      </c>
      <c r="G771" s="5">
        <v>45983</v>
      </c>
      <c r="H771" t="str">
        <f t="shared" si="24"/>
        <v>November</v>
      </c>
      <c r="I771" s="5">
        <v>45986</v>
      </c>
      <c r="J771" s="7">
        <f t="shared" ref="J771:J834" si="25">I771-G771</f>
        <v>3</v>
      </c>
      <c r="K771" s="6">
        <v>31170</v>
      </c>
    </row>
    <row r="772" spans="1:11" x14ac:dyDescent="0.3">
      <c r="A772" t="s">
        <v>949</v>
      </c>
      <c r="B772" t="s">
        <v>21</v>
      </c>
      <c r="C772">
        <v>5</v>
      </c>
      <c r="D772" t="s">
        <v>17</v>
      </c>
      <c r="E772" t="s">
        <v>39</v>
      </c>
      <c r="F772" t="s">
        <v>62</v>
      </c>
      <c r="G772" s="5">
        <v>45725</v>
      </c>
      <c r="H772" t="str">
        <f t="shared" si="24"/>
        <v>March</v>
      </c>
      <c r="I772" s="5">
        <v>45726</v>
      </c>
      <c r="J772" s="7">
        <f t="shared" si="25"/>
        <v>1</v>
      </c>
      <c r="K772" s="6">
        <v>11365</v>
      </c>
    </row>
    <row r="773" spans="1:11" x14ac:dyDescent="0.3">
      <c r="A773" t="s">
        <v>950</v>
      </c>
      <c r="B773" t="s">
        <v>199</v>
      </c>
      <c r="C773">
        <v>77</v>
      </c>
      <c r="D773" t="s">
        <v>12</v>
      </c>
      <c r="E773" t="s">
        <v>13</v>
      </c>
      <c r="F773" t="s">
        <v>62</v>
      </c>
      <c r="G773" s="5">
        <v>45721</v>
      </c>
      <c r="H773" t="str">
        <f t="shared" si="24"/>
        <v>March</v>
      </c>
      <c r="I773" s="5">
        <v>45728</v>
      </c>
      <c r="J773" s="7">
        <f t="shared" si="25"/>
        <v>7</v>
      </c>
      <c r="K773" s="6">
        <v>29302</v>
      </c>
    </row>
    <row r="774" spans="1:11" x14ac:dyDescent="0.3">
      <c r="A774" t="s">
        <v>951</v>
      </c>
      <c r="B774" t="s">
        <v>47</v>
      </c>
      <c r="C774">
        <v>5</v>
      </c>
      <c r="D774" t="s">
        <v>12</v>
      </c>
      <c r="E774" t="s">
        <v>30</v>
      </c>
      <c r="F774" t="s">
        <v>27</v>
      </c>
      <c r="G774" s="5">
        <v>45890</v>
      </c>
      <c r="H774" t="str">
        <f t="shared" si="24"/>
        <v>August</v>
      </c>
      <c r="I774" s="5">
        <v>45900</v>
      </c>
      <c r="J774" s="7">
        <f t="shared" si="25"/>
        <v>10</v>
      </c>
      <c r="K774" s="6">
        <v>48850</v>
      </c>
    </row>
    <row r="775" spans="1:11" x14ac:dyDescent="0.3">
      <c r="A775" t="s">
        <v>952</v>
      </c>
      <c r="B775" t="s">
        <v>107</v>
      </c>
      <c r="C775">
        <v>30</v>
      </c>
      <c r="D775" t="s">
        <v>12</v>
      </c>
      <c r="E775" t="s">
        <v>18</v>
      </c>
      <c r="F775" t="s">
        <v>59</v>
      </c>
      <c r="G775" s="5">
        <v>45684</v>
      </c>
      <c r="H775" t="str">
        <f t="shared" si="24"/>
        <v>January</v>
      </c>
      <c r="I775" s="5">
        <v>45691</v>
      </c>
      <c r="J775" s="7">
        <f t="shared" si="25"/>
        <v>7</v>
      </c>
      <c r="K775" s="6">
        <v>77644</v>
      </c>
    </row>
    <row r="776" spans="1:11" x14ac:dyDescent="0.3">
      <c r="A776" t="s">
        <v>953</v>
      </c>
      <c r="B776" t="s">
        <v>201</v>
      </c>
      <c r="C776">
        <v>22</v>
      </c>
      <c r="D776" t="s">
        <v>12</v>
      </c>
      <c r="E776" t="s">
        <v>26</v>
      </c>
      <c r="F776" t="s">
        <v>23</v>
      </c>
      <c r="G776" s="5">
        <v>45695</v>
      </c>
      <c r="H776" t="str">
        <f t="shared" si="24"/>
        <v>February</v>
      </c>
      <c r="I776" s="5">
        <v>45706</v>
      </c>
      <c r="J776" s="7">
        <f t="shared" si="25"/>
        <v>11</v>
      </c>
      <c r="K776" s="6">
        <v>71753</v>
      </c>
    </row>
    <row r="777" spans="1:11" x14ac:dyDescent="0.3">
      <c r="A777" t="s">
        <v>954</v>
      </c>
      <c r="B777" t="s">
        <v>61</v>
      </c>
      <c r="C777">
        <v>3</v>
      </c>
      <c r="D777" t="s">
        <v>17</v>
      </c>
      <c r="E777" t="s">
        <v>48</v>
      </c>
      <c r="F777" t="s">
        <v>27</v>
      </c>
      <c r="G777" s="5">
        <v>45924</v>
      </c>
      <c r="H777" t="str">
        <f t="shared" si="24"/>
        <v>September</v>
      </c>
      <c r="I777" s="5">
        <v>45930</v>
      </c>
      <c r="J777" s="7">
        <f t="shared" si="25"/>
        <v>6</v>
      </c>
      <c r="K777" s="6">
        <v>31056</v>
      </c>
    </row>
    <row r="778" spans="1:11" x14ac:dyDescent="0.3">
      <c r="A778" t="s">
        <v>955</v>
      </c>
      <c r="B778" t="s">
        <v>36</v>
      </c>
      <c r="C778">
        <v>47</v>
      </c>
      <c r="D778" t="s">
        <v>17</v>
      </c>
      <c r="E778" t="s">
        <v>13</v>
      </c>
      <c r="F778" t="s">
        <v>34</v>
      </c>
      <c r="G778" s="5">
        <v>45663</v>
      </c>
      <c r="H778" t="str">
        <f t="shared" si="24"/>
        <v>January</v>
      </c>
      <c r="I778" s="5">
        <v>45666</v>
      </c>
      <c r="J778" s="7">
        <f t="shared" si="25"/>
        <v>3</v>
      </c>
      <c r="K778" s="6">
        <v>17550</v>
      </c>
    </row>
    <row r="779" spans="1:11" x14ac:dyDescent="0.3">
      <c r="A779" t="s">
        <v>956</v>
      </c>
      <c r="B779" t="s">
        <v>211</v>
      </c>
      <c r="C779">
        <v>14</v>
      </c>
      <c r="D779" t="s">
        <v>12</v>
      </c>
      <c r="E779" t="s">
        <v>26</v>
      </c>
      <c r="F779" t="s">
        <v>27</v>
      </c>
      <c r="G779" s="5">
        <v>45817</v>
      </c>
      <c r="H779" t="str">
        <f t="shared" si="24"/>
        <v>June</v>
      </c>
      <c r="I779" s="5">
        <v>45821</v>
      </c>
      <c r="J779" s="7">
        <f t="shared" si="25"/>
        <v>4</v>
      </c>
      <c r="K779" s="6">
        <v>43180</v>
      </c>
    </row>
    <row r="780" spans="1:11" x14ac:dyDescent="0.3">
      <c r="A780" t="s">
        <v>957</v>
      </c>
      <c r="B780" t="s">
        <v>550</v>
      </c>
      <c r="C780">
        <v>59</v>
      </c>
      <c r="D780" t="s">
        <v>12</v>
      </c>
      <c r="E780" t="s">
        <v>13</v>
      </c>
      <c r="F780" t="s">
        <v>59</v>
      </c>
      <c r="G780" s="5">
        <v>45755</v>
      </c>
      <c r="H780" t="str">
        <f t="shared" si="24"/>
        <v>April</v>
      </c>
      <c r="I780" s="5">
        <v>45759</v>
      </c>
      <c r="J780" s="7">
        <f t="shared" si="25"/>
        <v>4</v>
      </c>
      <c r="K780" s="6">
        <v>25212</v>
      </c>
    </row>
    <row r="781" spans="1:11" x14ac:dyDescent="0.3">
      <c r="A781" t="s">
        <v>958</v>
      </c>
      <c r="B781" t="s">
        <v>82</v>
      </c>
      <c r="C781">
        <v>16</v>
      </c>
      <c r="D781" t="s">
        <v>17</v>
      </c>
      <c r="E781" t="s">
        <v>45</v>
      </c>
      <c r="F781" t="s">
        <v>34</v>
      </c>
      <c r="G781" s="5">
        <v>45938</v>
      </c>
      <c r="H781" t="str">
        <f t="shared" si="24"/>
        <v>October</v>
      </c>
      <c r="I781" s="5">
        <v>45951</v>
      </c>
      <c r="J781" s="7">
        <f t="shared" si="25"/>
        <v>13</v>
      </c>
      <c r="K781" s="6">
        <v>150943</v>
      </c>
    </row>
    <row r="782" spans="1:11" x14ac:dyDescent="0.3">
      <c r="A782" t="s">
        <v>959</v>
      </c>
      <c r="B782" t="s">
        <v>89</v>
      </c>
      <c r="C782">
        <v>18</v>
      </c>
      <c r="D782" t="s">
        <v>12</v>
      </c>
      <c r="E782" t="s">
        <v>13</v>
      </c>
      <c r="F782" t="s">
        <v>34</v>
      </c>
      <c r="G782" s="5">
        <v>45896</v>
      </c>
      <c r="H782" t="str">
        <f t="shared" si="24"/>
        <v>August</v>
      </c>
      <c r="I782" s="5">
        <v>45903</v>
      </c>
      <c r="J782" s="7">
        <f t="shared" si="25"/>
        <v>7</v>
      </c>
      <c r="K782" s="6">
        <v>54180</v>
      </c>
    </row>
    <row r="783" spans="1:11" x14ac:dyDescent="0.3">
      <c r="A783" t="s">
        <v>960</v>
      </c>
      <c r="B783" t="s">
        <v>426</v>
      </c>
      <c r="C783">
        <v>45</v>
      </c>
      <c r="D783" t="s">
        <v>12</v>
      </c>
      <c r="E783" t="s">
        <v>30</v>
      </c>
      <c r="F783" t="s">
        <v>27</v>
      </c>
      <c r="G783" s="5">
        <v>46002</v>
      </c>
      <c r="H783" t="str">
        <f t="shared" si="24"/>
        <v>December</v>
      </c>
      <c r="I783" s="5">
        <v>46016</v>
      </c>
      <c r="J783" s="7">
        <f t="shared" si="25"/>
        <v>14</v>
      </c>
      <c r="K783" s="6">
        <v>60494</v>
      </c>
    </row>
    <row r="784" spans="1:11" x14ac:dyDescent="0.3">
      <c r="A784" t="s">
        <v>961</v>
      </c>
      <c r="B784" t="s">
        <v>371</v>
      </c>
      <c r="C784">
        <v>41</v>
      </c>
      <c r="D784" t="s">
        <v>12</v>
      </c>
      <c r="E784" t="s">
        <v>13</v>
      </c>
      <c r="F784" t="s">
        <v>27</v>
      </c>
      <c r="G784" s="5">
        <v>45828</v>
      </c>
      <c r="H784" t="str">
        <f t="shared" si="24"/>
        <v>June</v>
      </c>
      <c r="I784" s="5">
        <v>45841</v>
      </c>
      <c r="J784" s="7">
        <f t="shared" si="25"/>
        <v>13</v>
      </c>
      <c r="K784" s="6">
        <v>67041</v>
      </c>
    </row>
    <row r="785" spans="1:11" x14ac:dyDescent="0.3">
      <c r="A785" t="s">
        <v>962</v>
      </c>
      <c r="B785" t="s">
        <v>25</v>
      </c>
      <c r="C785">
        <v>24</v>
      </c>
      <c r="D785" t="s">
        <v>17</v>
      </c>
      <c r="E785" t="s">
        <v>30</v>
      </c>
      <c r="F785" t="s">
        <v>42</v>
      </c>
      <c r="G785" s="5">
        <v>46013</v>
      </c>
      <c r="H785" t="str">
        <f t="shared" si="24"/>
        <v>December</v>
      </c>
      <c r="I785" s="5">
        <v>46018</v>
      </c>
      <c r="J785" s="7">
        <f t="shared" si="25"/>
        <v>5</v>
      </c>
      <c r="K785" s="6">
        <v>43265</v>
      </c>
    </row>
    <row r="786" spans="1:11" x14ac:dyDescent="0.3">
      <c r="A786" t="s">
        <v>963</v>
      </c>
      <c r="B786" t="s">
        <v>308</v>
      </c>
      <c r="C786">
        <v>35</v>
      </c>
      <c r="D786" t="s">
        <v>17</v>
      </c>
      <c r="E786" t="s">
        <v>13</v>
      </c>
      <c r="F786" t="s">
        <v>62</v>
      </c>
      <c r="G786" s="5">
        <v>45870</v>
      </c>
      <c r="H786" t="str">
        <f t="shared" si="24"/>
        <v>August</v>
      </c>
      <c r="I786" s="5">
        <v>45874</v>
      </c>
      <c r="J786" s="7">
        <f t="shared" si="25"/>
        <v>4</v>
      </c>
      <c r="K786" s="6">
        <v>46228</v>
      </c>
    </row>
    <row r="787" spans="1:11" x14ac:dyDescent="0.3">
      <c r="A787" t="s">
        <v>964</v>
      </c>
      <c r="B787" t="s">
        <v>273</v>
      </c>
      <c r="C787">
        <v>83</v>
      </c>
      <c r="D787" t="s">
        <v>17</v>
      </c>
      <c r="E787" t="s">
        <v>26</v>
      </c>
      <c r="F787" t="s">
        <v>42</v>
      </c>
      <c r="G787" s="5">
        <v>45825</v>
      </c>
      <c r="H787" t="str">
        <f t="shared" si="24"/>
        <v>June</v>
      </c>
      <c r="I787" s="5">
        <v>45833</v>
      </c>
      <c r="J787" s="7">
        <f t="shared" si="25"/>
        <v>8</v>
      </c>
      <c r="K787" s="6">
        <v>94344</v>
      </c>
    </row>
    <row r="788" spans="1:11" x14ac:dyDescent="0.3">
      <c r="A788" t="s">
        <v>965</v>
      </c>
      <c r="B788" t="s">
        <v>142</v>
      </c>
      <c r="C788">
        <v>58</v>
      </c>
      <c r="D788" t="s">
        <v>17</v>
      </c>
      <c r="E788" t="s">
        <v>13</v>
      </c>
      <c r="F788" t="s">
        <v>62</v>
      </c>
      <c r="G788" s="5">
        <v>46001</v>
      </c>
      <c r="H788" t="str">
        <f t="shared" si="24"/>
        <v>December</v>
      </c>
      <c r="I788" s="5">
        <v>46006</v>
      </c>
      <c r="J788" s="7">
        <f t="shared" si="25"/>
        <v>5</v>
      </c>
      <c r="K788" s="6">
        <v>31880</v>
      </c>
    </row>
    <row r="789" spans="1:11" x14ac:dyDescent="0.3">
      <c r="A789" t="s">
        <v>966</v>
      </c>
      <c r="B789" t="s">
        <v>196</v>
      </c>
      <c r="C789">
        <v>47</v>
      </c>
      <c r="D789" t="s">
        <v>12</v>
      </c>
      <c r="E789" t="s">
        <v>48</v>
      </c>
      <c r="F789" t="s">
        <v>59</v>
      </c>
      <c r="G789" s="5">
        <v>46002</v>
      </c>
      <c r="H789" t="str">
        <f t="shared" si="24"/>
        <v>December</v>
      </c>
      <c r="I789" s="5">
        <v>46010</v>
      </c>
      <c r="J789" s="7">
        <f t="shared" si="25"/>
        <v>8</v>
      </c>
      <c r="K789" s="6">
        <v>62712</v>
      </c>
    </row>
    <row r="790" spans="1:11" x14ac:dyDescent="0.3">
      <c r="A790" t="s">
        <v>967</v>
      </c>
      <c r="B790" t="s">
        <v>158</v>
      </c>
      <c r="C790">
        <v>20</v>
      </c>
      <c r="D790" t="s">
        <v>12</v>
      </c>
      <c r="E790" t="s">
        <v>39</v>
      </c>
      <c r="F790" t="s">
        <v>59</v>
      </c>
      <c r="G790" s="5">
        <v>45731</v>
      </c>
      <c r="H790" t="str">
        <f t="shared" si="24"/>
        <v>March</v>
      </c>
      <c r="I790" s="5">
        <v>45745</v>
      </c>
      <c r="J790" s="7">
        <f t="shared" si="25"/>
        <v>14</v>
      </c>
      <c r="K790" s="6">
        <v>58562</v>
      </c>
    </row>
    <row r="791" spans="1:11" x14ac:dyDescent="0.3">
      <c r="A791" t="s">
        <v>968</v>
      </c>
      <c r="B791" t="s">
        <v>137</v>
      </c>
      <c r="C791">
        <v>46</v>
      </c>
      <c r="D791" t="s">
        <v>17</v>
      </c>
      <c r="E791" t="s">
        <v>33</v>
      </c>
      <c r="F791" t="s">
        <v>42</v>
      </c>
      <c r="G791" s="5">
        <v>45998</v>
      </c>
      <c r="H791" t="str">
        <f t="shared" si="24"/>
        <v>December</v>
      </c>
      <c r="I791" s="5">
        <v>46003</v>
      </c>
      <c r="J791" s="7">
        <f t="shared" si="25"/>
        <v>5</v>
      </c>
      <c r="K791" s="6">
        <v>49595</v>
      </c>
    </row>
    <row r="792" spans="1:11" x14ac:dyDescent="0.3">
      <c r="A792" t="s">
        <v>969</v>
      </c>
      <c r="B792" t="s">
        <v>11</v>
      </c>
      <c r="C792">
        <v>33</v>
      </c>
      <c r="D792" t="s">
        <v>12</v>
      </c>
      <c r="E792" t="s">
        <v>22</v>
      </c>
      <c r="F792" t="s">
        <v>59</v>
      </c>
      <c r="G792" s="5">
        <v>45686</v>
      </c>
      <c r="H792" t="str">
        <f t="shared" si="24"/>
        <v>January</v>
      </c>
      <c r="I792" s="5">
        <v>45697</v>
      </c>
      <c r="J792" s="7">
        <f t="shared" si="25"/>
        <v>11</v>
      </c>
      <c r="K792" s="6">
        <v>44484</v>
      </c>
    </row>
    <row r="793" spans="1:11" x14ac:dyDescent="0.3">
      <c r="A793" t="s">
        <v>970</v>
      </c>
      <c r="B793" t="s">
        <v>464</v>
      </c>
      <c r="C793">
        <v>1</v>
      </c>
      <c r="D793" t="s">
        <v>12</v>
      </c>
      <c r="E793" t="s">
        <v>102</v>
      </c>
      <c r="F793" t="s">
        <v>59</v>
      </c>
      <c r="G793" s="5">
        <v>45842</v>
      </c>
      <c r="H793" t="str">
        <f t="shared" si="24"/>
        <v>July</v>
      </c>
      <c r="I793" s="5">
        <v>45848</v>
      </c>
      <c r="J793" s="7">
        <f t="shared" si="25"/>
        <v>6</v>
      </c>
      <c r="K793" s="6">
        <v>44532</v>
      </c>
    </row>
    <row r="794" spans="1:11" x14ac:dyDescent="0.3">
      <c r="A794" t="s">
        <v>971</v>
      </c>
      <c r="B794" t="s">
        <v>112</v>
      </c>
      <c r="C794">
        <v>6</v>
      </c>
      <c r="D794" t="s">
        <v>12</v>
      </c>
      <c r="E794" t="s">
        <v>18</v>
      </c>
      <c r="F794" t="s">
        <v>62</v>
      </c>
      <c r="G794" s="5">
        <v>46013</v>
      </c>
      <c r="H794" t="str">
        <f t="shared" si="24"/>
        <v>December</v>
      </c>
      <c r="I794" s="5">
        <v>46014</v>
      </c>
      <c r="J794" s="7">
        <f t="shared" si="25"/>
        <v>1</v>
      </c>
      <c r="K794" s="6">
        <v>5316</v>
      </c>
    </row>
    <row r="795" spans="1:11" x14ac:dyDescent="0.3">
      <c r="A795" t="s">
        <v>972</v>
      </c>
      <c r="B795" t="s">
        <v>345</v>
      </c>
      <c r="C795">
        <v>15</v>
      </c>
      <c r="D795" t="s">
        <v>12</v>
      </c>
      <c r="E795" t="s">
        <v>26</v>
      </c>
      <c r="F795" t="s">
        <v>27</v>
      </c>
      <c r="G795" s="5">
        <v>45891</v>
      </c>
      <c r="H795" t="str">
        <f t="shared" si="24"/>
        <v>August</v>
      </c>
      <c r="I795" s="5">
        <v>45895</v>
      </c>
      <c r="J795" s="7">
        <f t="shared" si="25"/>
        <v>4</v>
      </c>
      <c r="K795" s="6">
        <v>37256</v>
      </c>
    </row>
    <row r="796" spans="1:11" x14ac:dyDescent="0.3">
      <c r="A796" t="s">
        <v>973</v>
      </c>
      <c r="B796" t="s">
        <v>127</v>
      </c>
      <c r="C796">
        <v>51</v>
      </c>
      <c r="D796" t="s">
        <v>17</v>
      </c>
      <c r="E796" t="s">
        <v>102</v>
      </c>
      <c r="F796" t="s">
        <v>34</v>
      </c>
      <c r="G796" s="5">
        <v>45933</v>
      </c>
      <c r="H796" t="str">
        <f t="shared" si="24"/>
        <v>October</v>
      </c>
      <c r="I796" s="5">
        <v>45939</v>
      </c>
      <c r="J796" s="7">
        <f t="shared" si="25"/>
        <v>6</v>
      </c>
      <c r="K796" s="6">
        <v>65058</v>
      </c>
    </row>
    <row r="797" spans="1:11" x14ac:dyDescent="0.3">
      <c r="A797" t="s">
        <v>974</v>
      </c>
      <c r="B797" t="s">
        <v>38</v>
      </c>
      <c r="C797">
        <v>26</v>
      </c>
      <c r="D797" t="s">
        <v>17</v>
      </c>
      <c r="E797" t="s">
        <v>13</v>
      </c>
      <c r="F797" t="s">
        <v>34</v>
      </c>
      <c r="G797" s="5">
        <v>45758</v>
      </c>
      <c r="H797" t="str">
        <f t="shared" si="24"/>
        <v>April</v>
      </c>
      <c r="I797" s="5">
        <v>45765</v>
      </c>
      <c r="J797" s="7">
        <f t="shared" si="25"/>
        <v>7</v>
      </c>
      <c r="K797" s="6">
        <v>39480</v>
      </c>
    </row>
    <row r="798" spans="1:11" x14ac:dyDescent="0.3">
      <c r="A798" t="s">
        <v>975</v>
      </c>
      <c r="B798" t="s">
        <v>294</v>
      </c>
      <c r="C798">
        <v>49</v>
      </c>
      <c r="D798" t="s">
        <v>12</v>
      </c>
      <c r="E798" t="s">
        <v>102</v>
      </c>
      <c r="F798" t="s">
        <v>19</v>
      </c>
      <c r="G798" s="5">
        <v>45934</v>
      </c>
      <c r="H798" t="str">
        <f t="shared" si="24"/>
        <v>October</v>
      </c>
      <c r="I798" s="5">
        <v>45946</v>
      </c>
      <c r="J798" s="7">
        <f t="shared" si="25"/>
        <v>12</v>
      </c>
      <c r="K798" s="6">
        <v>63372</v>
      </c>
    </row>
    <row r="799" spans="1:11" x14ac:dyDescent="0.3">
      <c r="A799" t="s">
        <v>976</v>
      </c>
      <c r="B799" t="s">
        <v>325</v>
      </c>
      <c r="C799">
        <v>88</v>
      </c>
      <c r="D799" t="s">
        <v>12</v>
      </c>
      <c r="E799" t="s">
        <v>102</v>
      </c>
      <c r="F799" t="s">
        <v>23</v>
      </c>
      <c r="G799" s="5">
        <v>45887</v>
      </c>
      <c r="H799" t="str">
        <f t="shared" si="24"/>
        <v>August</v>
      </c>
      <c r="I799" s="5">
        <v>45893</v>
      </c>
      <c r="J799" s="7">
        <f t="shared" si="25"/>
        <v>6</v>
      </c>
      <c r="K799" s="6">
        <v>35850</v>
      </c>
    </row>
    <row r="800" spans="1:11" x14ac:dyDescent="0.3">
      <c r="A800" t="s">
        <v>977</v>
      </c>
      <c r="B800" t="s">
        <v>72</v>
      </c>
      <c r="C800">
        <v>90</v>
      </c>
      <c r="D800" t="s">
        <v>12</v>
      </c>
      <c r="E800" t="s">
        <v>45</v>
      </c>
      <c r="F800" t="s">
        <v>23</v>
      </c>
      <c r="G800" s="5">
        <v>45797</v>
      </c>
      <c r="H800" t="str">
        <f t="shared" si="24"/>
        <v>May</v>
      </c>
      <c r="I800" s="5">
        <v>45798</v>
      </c>
      <c r="J800" s="7">
        <f t="shared" si="25"/>
        <v>1</v>
      </c>
      <c r="K800" s="6">
        <v>6887</v>
      </c>
    </row>
    <row r="801" spans="1:11" x14ac:dyDescent="0.3">
      <c r="A801" t="s">
        <v>978</v>
      </c>
      <c r="B801" t="s">
        <v>241</v>
      </c>
      <c r="C801">
        <v>35</v>
      </c>
      <c r="D801" t="s">
        <v>12</v>
      </c>
      <c r="E801" t="s">
        <v>48</v>
      </c>
      <c r="F801" t="s">
        <v>62</v>
      </c>
      <c r="G801" s="5">
        <v>45825</v>
      </c>
      <c r="H801" t="str">
        <f t="shared" si="24"/>
        <v>June</v>
      </c>
      <c r="I801" s="5">
        <v>45836</v>
      </c>
      <c r="J801" s="7">
        <f t="shared" si="25"/>
        <v>11</v>
      </c>
      <c r="K801" s="6">
        <v>59686</v>
      </c>
    </row>
    <row r="802" spans="1:11" x14ac:dyDescent="0.3">
      <c r="A802" t="s">
        <v>979</v>
      </c>
      <c r="B802" t="s">
        <v>38</v>
      </c>
      <c r="C802">
        <v>72</v>
      </c>
      <c r="D802" t="s">
        <v>12</v>
      </c>
      <c r="E802" t="s">
        <v>33</v>
      </c>
      <c r="F802" t="s">
        <v>23</v>
      </c>
      <c r="G802" s="5">
        <v>46021</v>
      </c>
      <c r="H802" t="str">
        <f t="shared" si="24"/>
        <v>December</v>
      </c>
      <c r="I802" s="5">
        <v>46032</v>
      </c>
      <c r="J802" s="7">
        <f t="shared" si="25"/>
        <v>11</v>
      </c>
      <c r="K802" s="6">
        <v>112112</v>
      </c>
    </row>
    <row r="803" spans="1:11" x14ac:dyDescent="0.3">
      <c r="A803" t="s">
        <v>980</v>
      </c>
      <c r="B803" t="s">
        <v>900</v>
      </c>
      <c r="C803">
        <v>67</v>
      </c>
      <c r="D803" t="s">
        <v>12</v>
      </c>
      <c r="E803" t="s">
        <v>13</v>
      </c>
      <c r="F803" t="s">
        <v>62</v>
      </c>
      <c r="G803" s="5">
        <v>45692</v>
      </c>
      <c r="H803" t="str">
        <f t="shared" si="24"/>
        <v>February</v>
      </c>
      <c r="I803" s="5">
        <v>45694</v>
      </c>
      <c r="J803" s="7">
        <f t="shared" si="25"/>
        <v>2</v>
      </c>
      <c r="K803" s="6">
        <v>18978</v>
      </c>
    </row>
    <row r="804" spans="1:11" x14ac:dyDescent="0.3">
      <c r="A804" t="s">
        <v>981</v>
      </c>
      <c r="B804" t="s">
        <v>467</v>
      </c>
      <c r="C804">
        <v>78</v>
      </c>
      <c r="D804" t="s">
        <v>12</v>
      </c>
      <c r="E804" t="s">
        <v>26</v>
      </c>
      <c r="F804" t="s">
        <v>14</v>
      </c>
      <c r="G804" s="5">
        <v>45850</v>
      </c>
      <c r="H804" t="str">
        <f t="shared" si="24"/>
        <v>July</v>
      </c>
      <c r="I804" s="5">
        <v>45860</v>
      </c>
      <c r="J804" s="7">
        <f t="shared" si="25"/>
        <v>10</v>
      </c>
      <c r="K804" s="6">
        <v>111170</v>
      </c>
    </row>
    <row r="805" spans="1:11" x14ac:dyDescent="0.3">
      <c r="A805" t="s">
        <v>982</v>
      </c>
      <c r="B805" t="s">
        <v>116</v>
      </c>
      <c r="C805">
        <v>67</v>
      </c>
      <c r="D805" t="s">
        <v>17</v>
      </c>
      <c r="E805" t="s">
        <v>39</v>
      </c>
      <c r="F805" t="s">
        <v>23</v>
      </c>
      <c r="G805" s="5">
        <v>45875</v>
      </c>
      <c r="H805" t="str">
        <f t="shared" si="24"/>
        <v>August</v>
      </c>
      <c r="I805" s="5">
        <v>45887</v>
      </c>
      <c r="J805" s="7">
        <f t="shared" si="25"/>
        <v>12</v>
      </c>
      <c r="K805" s="6">
        <v>98232</v>
      </c>
    </row>
    <row r="806" spans="1:11" x14ac:dyDescent="0.3">
      <c r="A806" t="s">
        <v>983</v>
      </c>
      <c r="B806" t="s">
        <v>379</v>
      </c>
      <c r="C806">
        <v>25</v>
      </c>
      <c r="D806" t="s">
        <v>12</v>
      </c>
      <c r="E806" t="s">
        <v>18</v>
      </c>
      <c r="F806" t="s">
        <v>19</v>
      </c>
      <c r="G806" s="5">
        <v>45941</v>
      </c>
      <c r="H806" t="str">
        <f t="shared" si="24"/>
        <v>October</v>
      </c>
      <c r="I806" s="5">
        <v>45954</v>
      </c>
      <c r="J806" s="7">
        <f t="shared" si="25"/>
        <v>13</v>
      </c>
      <c r="K806" s="6">
        <v>144612</v>
      </c>
    </row>
    <row r="807" spans="1:11" x14ac:dyDescent="0.3">
      <c r="A807" t="s">
        <v>984</v>
      </c>
      <c r="B807" t="s">
        <v>36</v>
      </c>
      <c r="C807">
        <v>17</v>
      </c>
      <c r="D807" t="s">
        <v>17</v>
      </c>
      <c r="E807" t="s">
        <v>26</v>
      </c>
      <c r="F807" t="s">
        <v>59</v>
      </c>
      <c r="G807" s="5">
        <v>45684</v>
      </c>
      <c r="H807" t="str">
        <f t="shared" si="24"/>
        <v>January</v>
      </c>
      <c r="I807" s="5">
        <v>45686</v>
      </c>
      <c r="J807" s="7">
        <f t="shared" si="25"/>
        <v>2</v>
      </c>
      <c r="K807" s="6">
        <v>23010</v>
      </c>
    </row>
    <row r="808" spans="1:11" x14ac:dyDescent="0.3">
      <c r="A808" t="s">
        <v>985</v>
      </c>
      <c r="B808" t="s">
        <v>426</v>
      </c>
      <c r="C808">
        <v>19</v>
      </c>
      <c r="D808" t="s">
        <v>17</v>
      </c>
      <c r="E808" t="s">
        <v>33</v>
      </c>
      <c r="F808" t="s">
        <v>62</v>
      </c>
      <c r="G808" s="5">
        <v>45876</v>
      </c>
      <c r="H808" t="str">
        <f t="shared" si="24"/>
        <v>August</v>
      </c>
      <c r="I808" s="5">
        <v>45878</v>
      </c>
      <c r="J808" s="7">
        <f t="shared" si="25"/>
        <v>2</v>
      </c>
      <c r="K808" s="6">
        <v>19128</v>
      </c>
    </row>
    <row r="809" spans="1:11" x14ac:dyDescent="0.3">
      <c r="A809" t="s">
        <v>986</v>
      </c>
      <c r="B809" t="s">
        <v>68</v>
      </c>
      <c r="C809">
        <v>4</v>
      </c>
      <c r="D809" t="s">
        <v>12</v>
      </c>
      <c r="E809" t="s">
        <v>30</v>
      </c>
      <c r="F809" t="s">
        <v>14</v>
      </c>
      <c r="G809" s="5">
        <v>45807</v>
      </c>
      <c r="H809" t="str">
        <f t="shared" si="24"/>
        <v>May</v>
      </c>
      <c r="I809" s="5">
        <v>45822</v>
      </c>
      <c r="J809" s="7">
        <f t="shared" si="25"/>
        <v>15</v>
      </c>
      <c r="K809" s="6">
        <v>122370</v>
      </c>
    </row>
    <row r="810" spans="1:11" x14ac:dyDescent="0.3">
      <c r="A810" t="s">
        <v>987</v>
      </c>
      <c r="B810" t="s">
        <v>602</v>
      </c>
      <c r="C810">
        <v>64</v>
      </c>
      <c r="D810" t="s">
        <v>12</v>
      </c>
      <c r="E810" t="s">
        <v>18</v>
      </c>
      <c r="F810" t="s">
        <v>42</v>
      </c>
      <c r="G810" s="5">
        <v>45742</v>
      </c>
      <c r="H810" t="str">
        <f t="shared" si="24"/>
        <v>March</v>
      </c>
      <c r="I810" s="5">
        <v>45746</v>
      </c>
      <c r="J810" s="7">
        <f t="shared" si="25"/>
        <v>4</v>
      </c>
      <c r="K810" s="6">
        <v>40596</v>
      </c>
    </row>
    <row r="811" spans="1:11" x14ac:dyDescent="0.3">
      <c r="A811" t="s">
        <v>988</v>
      </c>
      <c r="B811" t="s">
        <v>187</v>
      </c>
      <c r="C811">
        <v>40</v>
      </c>
      <c r="D811" t="s">
        <v>17</v>
      </c>
      <c r="E811" t="s">
        <v>22</v>
      </c>
      <c r="F811" t="s">
        <v>27</v>
      </c>
      <c r="G811" s="5">
        <v>45964</v>
      </c>
      <c r="H811" t="str">
        <f t="shared" si="24"/>
        <v>November</v>
      </c>
      <c r="I811" s="5">
        <v>45967</v>
      </c>
      <c r="J811" s="7">
        <f t="shared" si="25"/>
        <v>3</v>
      </c>
      <c r="K811" s="6">
        <v>33441</v>
      </c>
    </row>
    <row r="812" spans="1:11" x14ac:dyDescent="0.3">
      <c r="A812" t="s">
        <v>989</v>
      </c>
      <c r="B812" t="s">
        <v>394</v>
      </c>
      <c r="C812">
        <v>76</v>
      </c>
      <c r="D812" t="s">
        <v>12</v>
      </c>
      <c r="E812" t="s">
        <v>26</v>
      </c>
      <c r="F812" t="s">
        <v>62</v>
      </c>
      <c r="G812" s="5">
        <v>45758</v>
      </c>
      <c r="H812" t="str">
        <f t="shared" si="24"/>
        <v>April</v>
      </c>
      <c r="I812" s="5">
        <v>45762</v>
      </c>
      <c r="J812" s="7">
        <f t="shared" si="25"/>
        <v>4</v>
      </c>
      <c r="K812" s="6">
        <v>40644</v>
      </c>
    </row>
    <row r="813" spans="1:11" x14ac:dyDescent="0.3">
      <c r="A813" t="s">
        <v>990</v>
      </c>
      <c r="B813" t="s">
        <v>112</v>
      </c>
      <c r="C813">
        <v>3</v>
      </c>
      <c r="D813" t="s">
        <v>12</v>
      </c>
      <c r="E813" t="s">
        <v>30</v>
      </c>
      <c r="F813" t="s">
        <v>62</v>
      </c>
      <c r="G813" s="5">
        <v>45857</v>
      </c>
      <c r="H813" t="str">
        <f t="shared" si="24"/>
        <v>July</v>
      </c>
      <c r="I813" s="5">
        <v>45864</v>
      </c>
      <c r="J813" s="7">
        <f t="shared" si="25"/>
        <v>7</v>
      </c>
      <c r="K813" s="6">
        <v>32305</v>
      </c>
    </row>
    <row r="814" spans="1:11" x14ac:dyDescent="0.3">
      <c r="A814" t="s">
        <v>991</v>
      </c>
      <c r="B814" t="s">
        <v>38</v>
      </c>
      <c r="C814">
        <v>43</v>
      </c>
      <c r="D814" t="s">
        <v>12</v>
      </c>
      <c r="E814" t="s">
        <v>102</v>
      </c>
      <c r="F814" t="s">
        <v>59</v>
      </c>
      <c r="G814" s="5">
        <v>45750</v>
      </c>
      <c r="H814" t="str">
        <f t="shared" si="24"/>
        <v>April</v>
      </c>
      <c r="I814" s="5">
        <v>45759</v>
      </c>
      <c r="J814" s="7">
        <f t="shared" si="25"/>
        <v>9</v>
      </c>
      <c r="K814" s="6">
        <v>104328</v>
      </c>
    </row>
    <row r="815" spans="1:11" x14ac:dyDescent="0.3">
      <c r="A815" t="s">
        <v>992</v>
      </c>
      <c r="B815" t="s">
        <v>68</v>
      </c>
      <c r="C815">
        <v>19</v>
      </c>
      <c r="D815" t="s">
        <v>17</v>
      </c>
      <c r="E815" t="s">
        <v>26</v>
      </c>
      <c r="F815" t="s">
        <v>23</v>
      </c>
      <c r="G815" s="5">
        <v>45698</v>
      </c>
      <c r="H815" t="str">
        <f t="shared" si="24"/>
        <v>February</v>
      </c>
      <c r="I815" s="5">
        <v>45705</v>
      </c>
      <c r="J815" s="7">
        <f t="shared" si="25"/>
        <v>7</v>
      </c>
      <c r="K815" s="6">
        <v>55062</v>
      </c>
    </row>
    <row r="816" spans="1:11" x14ac:dyDescent="0.3">
      <c r="A816" t="s">
        <v>993</v>
      </c>
      <c r="B816" t="s">
        <v>132</v>
      </c>
      <c r="C816">
        <v>50</v>
      </c>
      <c r="D816" t="s">
        <v>17</v>
      </c>
      <c r="E816" t="s">
        <v>22</v>
      </c>
      <c r="F816" t="s">
        <v>27</v>
      </c>
      <c r="G816" s="5">
        <v>45990</v>
      </c>
      <c r="H816" t="str">
        <f t="shared" si="24"/>
        <v>November</v>
      </c>
      <c r="I816" s="5">
        <v>46003</v>
      </c>
      <c r="J816" s="7">
        <f t="shared" si="25"/>
        <v>13</v>
      </c>
      <c r="K816" s="6">
        <v>62569</v>
      </c>
    </row>
    <row r="817" spans="1:11" x14ac:dyDescent="0.3">
      <c r="A817" t="s">
        <v>994</v>
      </c>
      <c r="B817" t="s">
        <v>58</v>
      </c>
      <c r="C817">
        <v>53</v>
      </c>
      <c r="D817" t="s">
        <v>17</v>
      </c>
      <c r="E817" t="s">
        <v>26</v>
      </c>
      <c r="F817" t="s">
        <v>42</v>
      </c>
      <c r="G817" s="5">
        <v>45676</v>
      </c>
      <c r="H817" t="str">
        <f t="shared" si="24"/>
        <v>January</v>
      </c>
      <c r="I817" s="5">
        <v>45688</v>
      </c>
      <c r="J817" s="7">
        <f t="shared" si="25"/>
        <v>12</v>
      </c>
      <c r="K817" s="6">
        <v>116772</v>
      </c>
    </row>
    <row r="818" spans="1:11" x14ac:dyDescent="0.3">
      <c r="A818" t="s">
        <v>995</v>
      </c>
      <c r="B818" t="s">
        <v>366</v>
      </c>
      <c r="C818">
        <v>39</v>
      </c>
      <c r="D818" t="s">
        <v>12</v>
      </c>
      <c r="E818" t="s">
        <v>13</v>
      </c>
      <c r="F818" t="s">
        <v>27</v>
      </c>
      <c r="G818" s="5">
        <v>45906</v>
      </c>
      <c r="H818" t="str">
        <f t="shared" si="24"/>
        <v>September</v>
      </c>
      <c r="I818" s="5">
        <v>45911</v>
      </c>
      <c r="J818" s="7">
        <f t="shared" si="25"/>
        <v>5</v>
      </c>
      <c r="K818" s="6">
        <v>26745</v>
      </c>
    </row>
    <row r="819" spans="1:11" x14ac:dyDescent="0.3">
      <c r="A819" t="s">
        <v>996</v>
      </c>
      <c r="B819" t="s">
        <v>130</v>
      </c>
      <c r="C819">
        <v>20</v>
      </c>
      <c r="D819" t="s">
        <v>12</v>
      </c>
      <c r="E819" t="s">
        <v>13</v>
      </c>
      <c r="F819" t="s">
        <v>27</v>
      </c>
      <c r="G819" s="5">
        <v>45709</v>
      </c>
      <c r="H819" t="str">
        <f t="shared" si="24"/>
        <v>February</v>
      </c>
      <c r="I819" s="5">
        <v>45716</v>
      </c>
      <c r="J819" s="7">
        <f t="shared" si="25"/>
        <v>7</v>
      </c>
      <c r="K819" s="6">
        <v>38738</v>
      </c>
    </row>
    <row r="820" spans="1:11" x14ac:dyDescent="0.3">
      <c r="A820" t="s">
        <v>997</v>
      </c>
      <c r="B820" t="s">
        <v>312</v>
      </c>
      <c r="C820">
        <v>86</v>
      </c>
      <c r="D820" t="s">
        <v>17</v>
      </c>
      <c r="E820" t="s">
        <v>33</v>
      </c>
      <c r="F820" t="s">
        <v>14</v>
      </c>
      <c r="G820" s="5">
        <v>45923</v>
      </c>
      <c r="H820" t="str">
        <f t="shared" si="24"/>
        <v>September</v>
      </c>
      <c r="I820" s="5">
        <v>45924</v>
      </c>
      <c r="J820" s="7">
        <f t="shared" si="25"/>
        <v>1</v>
      </c>
      <c r="K820" s="6">
        <v>4917</v>
      </c>
    </row>
    <row r="821" spans="1:11" x14ac:dyDescent="0.3">
      <c r="A821" t="s">
        <v>998</v>
      </c>
      <c r="B821" t="s">
        <v>72</v>
      </c>
      <c r="C821">
        <v>33</v>
      </c>
      <c r="D821" t="s">
        <v>12</v>
      </c>
      <c r="E821" t="s">
        <v>33</v>
      </c>
      <c r="F821" t="s">
        <v>34</v>
      </c>
      <c r="G821" s="5">
        <v>45990</v>
      </c>
      <c r="H821" t="str">
        <f t="shared" si="24"/>
        <v>November</v>
      </c>
      <c r="I821" s="5">
        <v>46005</v>
      </c>
      <c r="J821" s="7">
        <f t="shared" si="25"/>
        <v>15</v>
      </c>
      <c r="K821" s="6">
        <v>86550</v>
      </c>
    </row>
    <row r="822" spans="1:11" x14ac:dyDescent="0.3">
      <c r="A822" t="s">
        <v>999</v>
      </c>
      <c r="B822" t="s">
        <v>550</v>
      </c>
      <c r="C822">
        <v>78</v>
      </c>
      <c r="D822" t="s">
        <v>17</v>
      </c>
      <c r="E822" t="s">
        <v>18</v>
      </c>
      <c r="F822" t="s">
        <v>14</v>
      </c>
      <c r="G822" s="5">
        <v>45700</v>
      </c>
      <c r="H822" t="str">
        <f t="shared" si="24"/>
        <v>February</v>
      </c>
      <c r="I822" s="5">
        <v>45710</v>
      </c>
      <c r="J822" s="7">
        <f t="shared" si="25"/>
        <v>10</v>
      </c>
      <c r="K822" s="6">
        <v>40790</v>
      </c>
    </row>
    <row r="823" spans="1:11" x14ac:dyDescent="0.3">
      <c r="A823" t="s">
        <v>1000</v>
      </c>
      <c r="B823" t="s">
        <v>171</v>
      </c>
      <c r="C823">
        <v>5</v>
      </c>
      <c r="D823" t="s">
        <v>17</v>
      </c>
      <c r="E823" t="s">
        <v>39</v>
      </c>
      <c r="F823" t="s">
        <v>59</v>
      </c>
      <c r="G823" s="5">
        <v>45909</v>
      </c>
      <c r="H823" t="str">
        <f t="shared" si="24"/>
        <v>September</v>
      </c>
      <c r="I823" s="5">
        <v>45914</v>
      </c>
      <c r="J823" s="7">
        <f t="shared" si="25"/>
        <v>5</v>
      </c>
      <c r="K823" s="6">
        <v>36245</v>
      </c>
    </row>
    <row r="824" spans="1:11" x14ac:dyDescent="0.3">
      <c r="A824" t="s">
        <v>1001</v>
      </c>
      <c r="B824" t="s">
        <v>334</v>
      </c>
      <c r="C824">
        <v>2</v>
      </c>
      <c r="D824" t="s">
        <v>12</v>
      </c>
      <c r="E824" t="s">
        <v>30</v>
      </c>
      <c r="F824" t="s">
        <v>27</v>
      </c>
      <c r="G824" s="5">
        <v>45707</v>
      </c>
      <c r="H824" t="str">
        <f t="shared" si="24"/>
        <v>February</v>
      </c>
      <c r="I824" s="5">
        <v>45715</v>
      </c>
      <c r="J824" s="7">
        <f t="shared" si="25"/>
        <v>8</v>
      </c>
      <c r="K824" s="6">
        <v>82880</v>
      </c>
    </row>
    <row r="825" spans="1:11" x14ac:dyDescent="0.3">
      <c r="A825" t="s">
        <v>1002</v>
      </c>
      <c r="B825" t="s">
        <v>89</v>
      </c>
      <c r="C825">
        <v>84</v>
      </c>
      <c r="D825" t="s">
        <v>17</v>
      </c>
      <c r="E825" t="s">
        <v>39</v>
      </c>
      <c r="F825" t="s">
        <v>59</v>
      </c>
      <c r="G825" s="5">
        <v>45761</v>
      </c>
      <c r="H825" t="str">
        <f t="shared" si="24"/>
        <v>April</v>
      </c>
      <c r="I825" s="5">
        <v>45775</v>
      </c>
      <c r="J825" s="7">
        <f t="shared" si="25"/>
        <v>14</v>
      </c>
      <c r="K825" s="6">
        <v>103502</v>
      </c>
    </row>
    <row r="826" spans="1:11" x14ac:dyDescent="0.3">
      <c r="A826" t="s">
        <v>1003</v>
      </c>
      <c r="B826" t="s">
        <v>217</v>
      </c>
      <c r="C826">
        <v>27</v>
      </c>
      <c r="D826" t="s">
        <v>17</v>
      </c>
      <c r="E826" t="s">
        <v>18</v>
      </c>
      <c r="F826" t="s">
        <v>14</v>
      </c>
      <c r="G826" s="5">
        <v>45807</v>
      </c>
      <c r="H826" t="str">
        <f t="shared" si="24"/>
        <v>May</v>
      </c>
      <c r="I826" s="5">
        <v>45822</v>
      </c>
      <c r="J826" s="7">
        <f t="shared" si="25"/>
        <v>15</v>
      </c>
      <c r="K826" s="6">
        <v>105075</v>
      </c>
    </row>
    <row r="827" spans="1:11" x14ac:dyDescent="0.3">
      <c r="A827" t="s">
        <v>1004</v>
      </c>
      <c r="B827" t="s">
        <v>209</v>
      </c>
      <c r="C827">
        <v>11</v>
      </c>
      <c r="D827" t="s">
        <v>17</v>
      </c>
      <c r="E827" t="s">
        <v>22</v>
      </c>
      <c r="F827" t="s">
        <v>14</v>
      </c>
      <c r="G827" s="5">
        <v>45986</v>
      </c>
      <c r="H827" t="str">
        <f t="shared" si="24"/>
        <v>November</v>
      </c>
      <c r="I827" s="5">
        <v>46001</v>
      </c>
      <c r="J827" s="7">
        <f t="shared" si="25"/>
        <v>15</v>
      </c>
      <c r="K827" s="6">
        <v>142875</v>
      </c>
    </row>
    <row r="828" spans="1:11" x14ac:dyDescent="0.3">
      <c r="A828" t="s">
        <v>1005</v>
      </c>
      <c r="B828" t="s">
        <v>435</v>
      </c>
      <c r="C828">
        <v>3</v>
      </c>
      <c r="D828" t="s">
        <v>17</v>
      </c>
      <c r="E828" t="s">
        <v>33</v>
      </c>
      <c r="F828" t="s">
        <v>42</v>
      </c>
      <c r="G828" s="5">
        <v>45940</v>
      </c>
      <c r="H828" t="str">
        <f t="shared" si="24"/>
        <v>October</v>
      </c>
      <c r="I828" s="5">
        <v>45951</v>
      </c>
      <c r="J828" s="7">
        <f t="shared" si="25"/>
        <v>11</v>
      </c>
      <c r="K828" s="6">
        <v>51854</v>
      </c>
    </row>
    <row r="829" spans="1:11" x14ac:dyDescent="0.3">
      <c r="A829" t="s">
        <v>1006</v>
      </c>
      <c r="B829" t="s">
        <v>209</v>
      </c>
      <c r="C829">
        <v>80</v>
      </c>
      <c r="D829" t="s">
        <v>17</v>
      </c>
      <c r="E829" t="s">
        <v>18</v>
      </c>
      <c r="F829" t="s">
        <v>19</v>
      </c>
      <c r="G829" s="5">
        <v>45731</v>
      </c>
      <c r="H829" t="str">
        <f t="shared" si="24"/>
        <v>March</v>
      </c>
      <c r="I829" s="5">
        <v>45740</v>
      </c>
      <c r="J829" s="7">
        <f t="shared" si="25"/>
        <v>9</v>
      </c>
      <c r="K829" s="6">
        <v>101448</v>
      </c>
    </row>
    <row r="830" spans="1:11" x14ac:dyDescent="0.3">
      <c r="A830" t="s">
        <v>1007</v>
      </c>
      <c r="B830" t="s">
        <v>38</v>
      </c>
      <c r="C830">
        <v>50</v>
      </c>
      <c r="D830" t="s">
        <v>12</v>
      </c>
      <c r="E830" t="s">
        <v>102</v>
      </c>
      <c r="F830" t="s">
        <v>19</v>
      </c>
      <c r="G830" s="5">
        <v>45784</v>
      </c>
      <c r="H830" t="str">
        <f t="shared" si="24"/>
        <v>May</v>
      </c>
      <c r="I830" s="5">
        <v>45793</v>
      </c>
      <c r="J830" s="7">
        <f t="shared" si="25"/>
        <v>9</v>
      </c>
      <c r="K830" s="6">
        <v>89802</v>
      </c>
    </row>
    <row r="831" spans="1:11" x14ac:dyDescent="0.3">
      <c r="A831" t="s">
        <v>1008</v>
      </c>
      <c r="B831" t="s">
        <v>176</v>
      </c>
      <c r="C831">
        <v>13</v>
      </c>
      <c r="D831" t="s">
        <v>17</v>
      </c>
      <c r="E831" t="s">
        <v>13</v>
      </c>
      <c r="F831" t="s">
        <v>23</v>
      </c>
      <c r="G831" s="5">
        <v>45951</v>
      </c>
      <c r="H831" t="str">
        <f t="shared" si="24"/>
        <v>October</v>
      </c>
      <c r="I831" s="5">
        <v>45966</v>
      </c>
      <c r="J831" s="7">
        <f t="shared" si="25"/>
        <v>15</v>
      </c>
      <c r="K831" s="6">
        <v>123870</v>
      </c>
    </row>
    <row r="832" spans="1:11" x14ac:dyDescent="0.3">
      <c r="A832" t="s">
        <v>1009</v>
      </c>
      <c r="B832" t="s">
        <v>334</v>
      </c>
      <c r="C832">
        <v>88</v>
      </c>
      <c r="D832" t="s">
        <v>12</v>
      </c>
      <c r="E832" t="s">
        <v>26</v>
      </c>
      <c r="F832" t="s">
        <v>42</v>
      </c>
      <c r="G832" s="5">
        <v>45739</v>
      </c>
      <c r="H832" t="str">
        <f t="shared" si="24"/>
        <v>March</v>
      </c>
      <c r="I832" s="5">
        <v>45742</v>
      </c>
      <c r="J832" s="7">
        <f t="shared" si="25"/>
        <v>3</v>
      </c>
      <c r="K832" s="6">
        <v>26916</v>
      </c>
    </row>
    <row r="833" spans="1:11" x14ac:dyDescent="0.3">
      <c r="A833" t="s">
        <v>1010</v>
      </c>
      <c r="B833" t="s">
        <v>471</v>
      </c>
      <c r="C833">
        <v>16</v>
      </c>
      <c r="D833" t="s">
        <v>17</v>
      </c>
      <c r="E833" t="s">
        <v>48</v>
      </c>
      <c r="F833" t="s">
        <v>34</v>
      </c>
      <c r="G833" s="5">
        <v>46016</v>
      </c>
      <c r="H833" t="str">
        <f t="shared" si="24"/>
        <v>December</v>
      </c>
      <c r="I833" s="5">
        <v>46023</v>
      </c>
      <c r="J833" s="7">
        <f t="shared" si="25"/>
        <v>7</v>
      </c>
      <c r="K833" s="6">
        <v>40978</v>
      </c>
    </row>
    <row r="834" spans="1:11" x14ac:dyDescent="0.3">
      <c r="A834" t="s">
        <v>1011</v>
      </c>
      <c r="B834" t="s">
        <v>89</v>
      </c>
      <c r="C834">
        <v>15</v>
      </c>
      <c r="D834" t="s">
        <v>17</v>
      </c>
      <c r="E834" t="s">
        <v>39</v>
      </c>
      <c r="F834" t="s">
        <v>27</v>
      </c>
      <c r="G834" s="5">
        <v>45722</v>
      </c>
      <c r="H834" t="str">
        <f t="shared" ref="H834:H897" si="26">TEXT(G834,"mmmm")</f>
        <v>March</v>
      </c>
      <c r="I834" s="5">
        <v>45725</v>
      </c>
      <c r="J834" s="7">
        <f t="shared" si="25"/>
        <v>3</v>
      </c>
      <c r="K834" s="6">
        <v>15237</v>
      </c>
    </row>
    <row r="835" spans="1:11" x14ac:dyDescent="0.3">
      <c r="A835" t="s">
        <v>1012</v>
      </c>
      <c r="B835" t="s">
        <v>579</v>
      </c>
      <c r="C835">
        <v>9</v>
      </c>
      <c r="D835" t="s">
        <v>12</v>
      </c>
      <c r="E835" t="s">
        <v>33</v>
      </c>
      <c r="F835" t="s">
        <v>34</v>
      </c>
      <c r="G835" s="5">
        <v>45812</v>
      </c>
      <c r="H835" t="str">
        <f t="shared" si="26"/>
        <v>June</v>
      </c>
      <c r="I835" s="5">
        <v>45814</v>
      </c>
      <c r="J835" s="7">
        <f t="shared" ref="J835:J898" si="27">I835-G835</f>
        <v>2</v>
      </c>
      <c r="K835" s="6">
        <v>17788</v>
      </c>
    </row>
    <row r="836" spans="1:11" x14ac:dyDescent="0.3">
      <c r="A836" t="s">
        <v>1013</v>
      </c>
      <c r="B836" t="s">
        <v>345</v>
      </c>
      <c r="C836">
        <v>65</v>
      </c>
      <c r="D836" t="s">
        <v>17</v>
      </c>
      <c r="E836" t="s">
        <v>22</v>
      </c>
      <c r="F836" t="s">
        <v>23</v>
      </c>
      <c r="G836" s="5">
        <v>45892</v>
      </c>
      <c r="H836" t="str">
        <f t="shared" si="26"/>
        <v>August</v>
      </c>
      <c r="I836" s="5">
        <v>45901</v>
      </c>
      <c r="J836" s="7">
        <f t="shared" si="27"/>
        <v>9</v>
      </c>
      <c r="K836" s="6">
        <v>97650</v>
      </c>
    </row>
    <row r="837" spans="1:11" x14ac:dyDescent="0.3">
      <c r="A837" t="s">
        <v>1014</v>
      </c>
      <c r="B837" t="s">
        <v>288</v>
      </c>
      <c r="C837">
        <v>58</v>
      </c>
      <c r="D837" t="s">
        <v>17</v>
      </c>
      <c r="E837" t="s">
        <v>22</v>
      </c>
      <c r="F837" t="s">
        <v>42</v>
      </c>
      <c r="G837" s="5">
        <v>45755</v>
      </c>
      <c r="H837" t="str">
        <f t="shared" si="26"/>
        <v>April</v>
      </c>
      <c r="I837" s="5">
        <v>45769</v>
      </c>
      <c r="J837" s="7">
        <f t="shared" si="27"/>
        <v>14</v>
      </c>
      <c r="K837" s="6">
        <v>79352</v>
      </c>
    </row>
    <row r="838" spans="1:11" x14ac:dyDescent="0.3">
      <c r="A838" t="s">
        <v>1015</v>
      </c>
      <c r="B838" t="s">
        <v>467</v>
      </c>
      <c r="C838">
        <v>82</v>
      </c>
      <c r="D838" t="s">
        <v>17</v>
      </c>
      <c r="E838" t="s">
        <v>22</v>
      </c>
      <c r="F838" t="s">
        <v>62</v>
      </c>
      <c r="G838" s="5">
        <v>45751</v>
      </c>
      <c r="H838" t="str">
        <f t="shared" si="26"/>
        <v>April</v>
      </c>
      <c r="I838" s="5">
        <v>45759</v>
      </c>
      <c r="J838" s="7">
        <f t="shared" si="27"/>
        <v>8</v>
      </c>
      <c r="K838" s="6">
        <v>46616</v>
      </c>
    </row>
    <row r="839" spans="1:11" x14ac:dyDescent="0.3">
      <c r="A839" t="s">
        <v>1016</v>
      </c>
      <c r="B839" t="s">
        <v>91</v>
      </c>
      <c r="C839">
        <v>68</v>
      </c>
      <c r="D839" t="s">
        <v>17</v>
      </c>
      <c r="E839" t="s">
        <v>45</v>
      </c>
      <c r="F839" t="s">
        <v>19</v>
      </c>
      <c r="G839" s="5">
        <v>45983</v>
      </c>
      <c r="H839" t="str">
        <f t="shared" si="26"/>
        <v>November</v>
      </c>
      <c r="I839" s="5">
        <v>45995</v>
      </c>
      <c r="J839" s="7">
        <f t="shared" si="27"/>
        <v>12</v>
      </c>
      <c r="K839" s="6">
        <v>86508</v>
      </c>
    </row>
    <row r="840" spans="1:11" x14ac:dyDescent="0.3">
      <c r="A840" t="s">
        <v>1017</v>
      </c>
      <c r="B840" t="s">
        <v>109</v>
      </c>
      <c r="C840">
        <v>22</v>
      </c>
      <c r="D840" t="s">
        <v>12</v>
      </c>
      <c r="E840" t="s">
        <v>22</v>
      </c>
      <c r="F840" t="s">
        <v>19</v>
      </c>
      <c r="G840" s="5">
        <v>45735</v>
      </c>
      <c r="H840" t="str">
        <f t="shared" si="26"/>
        <v>March</v>
      </c>
      <c r="I840" s="5">
        <v>45750</v>
      </c>
      <c r="J840" s="7">
        <f t="shared" si="27"/>
        <v>15</v>
      </c>
      <c r="K840" s="6">
        <v>80880</v>
      </c>
    </row>
    <row r="841" spans="1:11" x14ac:dyDescent="0.3">
      <c r="A841" t="s">
        <v>1018</v>
      </c>
      <c r="B841" t="s">
        <v>297</v>
      </c>
      <c r="C841">
        <v>76</v>
      </c>
      <c r="D841" t="s">
        <v>17</v>
      </c>
      <c r="E841" t="s">
        <v>26</v>
      </c>
      <c r="F841" t="s">
        <v>59</v>
      </c>
      <c r="G841" s="5">
        <v>45731</v>
      </c>
      <c r="H841" t="str">
        <f t="shared" si="26"/>
        <v>March</v>
      </c>
      <c r="I841" s="5">
        <v>45740</v>
      </c>
      <c r="J841" s="7">
        <f t="shared" si="27"/>
        <v>9</v>
      </c>
      <c r="K841" s="6">
        <v>57294</v>
      </c>
    </row>
    <row r="842" spans="1:11" x14ac:dyDescent="0.3">
      <c r="A842" t="s">
        <v>1019</v>
      </c>
      <c r="B842" t="s">
        <v>100</v>
      </c>
      <c r="C842">
        <v>85</v>
      </c>
      <c r="D842" t="s">
        <v>12</v>
      </c>
      <c r="E842" t="s">
        <v>45</v>
      </c>
      <c r="F842" t="s">
        <v>14</v>
      </c>
      <c r="G842" s="5">
        <v>46004</v>
      </c>
      <c r="H842" t="str">
        <f t="shared" si="26"/>
        <v>December</v>
      </c>
      <c r="I842" s="5">
        <v>46005</v>
      </c>
      <c r="J842" s="7">
        <f t="shared" si="27"/>
        <v>1</v>
      </c>
      <c r="K842" s="6">
        <v>10835</v>
      </c>
    </row>
    <row r="843" spans="1:11" x14ac:dyDescent="0.3">
      <c r="A843" t="s">
        <v>1020</v>
      </c>
      <c r="B843" t="s">
        <v>264</v>
      </c>
      <c r="C843">
        <v>54</v>
      </c>
      <c r="D843" t="s">
        <v>12</v>
      </c>
      <c r="E843" t="s">
        <v>39</v>
      </c>
      <c r="F843" t="s">
        <v>19</v>
      </c>
      <c r="G843" s="5">
        <v>45977</v>
      </c>
      <c r="H843" t="str">
        <f t="shared" si="26"/>
        <v>November</v>
      </c>
      <c r="I843" s="5">
        <v>45981</v>
      </c>
      <c r="J843" s="7">
        <f t="shared" si="27"/>
        <v>4</v>
      </c>
      <c r="K843" s="6">
        <v>22432</v>
      </c>
    </row>
    <row r="844" spans="1:11" x14ac:dyDescent="0.3">
      <c r="A844" t="s">
        <v>1021</v>
      </c>
      <c r="B844" t="s">
        <v>164</v>
      </c>
      <c r="C844">
        <v>22</v>
      </c>
      <c r="D844" t="s">
        <v>17</v>
      </c>
      <c r="E844" t="s">
        <v>30</v>
      </c>
      <c r="F844" t="s">
        <v>23</v>
      </c>
      <c r="G844" s="5">
        <v>45842</v>
      </c>
      <c r="H844" t="str">
        <f t="shared" si="26"/>
        <v>July</v>
      </c>
      <c r="I844" s="5">
        <v>45850</v>
      </c>
      <c r="J844" s="7">
        <f t="shared" si="27"/>
        <v>8</v>
      </c>
      <c r="K844" s="6">
        <v>59424</v>
      </c>
    </row>
    <row r="845" spans="1:11" x14ac:dyDescent="0.3">
      <c r="A845" t="s">
        <v>1022</v>
      </c>
      <c r="B845" t="s">
        <v>220</v>
      </c>
      <c r="C845">
        <v>31</v>
      </c>
      <c r="D845" t="s">
        <v>17</v>
      </c>
      <c r="E845" t="s">
        <v>45</v>
      </c>
      <c r="F845" t="s">
        <v>23</v>
      </c>
      <c r="G845" s="5">
        <v>45925</v>
      </c>
      <c r="H845" t="str">
        <f t="shared" si="26"/>
        <v>September</v>
      </c>
      <c r="I845" s="5">
        <v>45933</v>
      </c>
      <c r="J845" s="7">
        <f t="shared" si="27"/>
        <v>8</v>
      </c>
      <c r="K845" s="6">
        <v>82504</v>
      </c>
    </row>
    <row r="846" spans="1:11" x14ac:dyDescent="0.3">
      <c r="A846" t="s">
        <v>1023</v>
      </c>
      <c r="B846" t="s">
        <v>445</v>
      </c>
      <c r="C846">
        <v>44</v>
      </c>
      <c r="D846" t="s">
        <v>12</v>
      </c>
      <c r="E846" t="s">
        <v>45</v>
      </c>
      <c r="F846" t="s">
        <v>59</v>
      </c>
      <c r="G846" s="5">
        <v>45973</v>
      </c>
      <c r="H846" t="str">
        <f t="shared" si="26"/>
        <v>November</v>
      </c>
      <c r="I846" s="5">
        <v>45975</v>
      </c>
      <c r="J846" s="7">
        <f t="shared" si="27"/>
        <v>2</v>
      </c>
      <c r="K846" s="6">
        <v>13052</v>
      </c>
    </row>
    <row r="847" spans="1:11" x14ac:dyDescent="0.3">
      <c r="A847" t="s">
        <v>1024</v>
      </c>
      <c r="B847" t="s">
        <v>125</v>
      </c>
      <c r="C847">
        <v>84</v>
      </c>
      <c r="D847" t="s">
        <v>17</v>
      </c>
      <c r="E847" t="s">
        <v>48</v>
      </c>
      <c r="F847" t="s">
        <v>42</v>
      </c>
      <c r="G847" s="5">
        <v>45869</v>
      </c>
      <c r="H847" t="str">
        <f t="shared" si="26"/>
        <v>July</v>
      </c>
      <c r="I847" s="5">
        <v>45877</v>
      </c>
      <c r="J847" s="7">
        <f t="shared" si="27"/>
        <v>8</v>
      </c>
      <c r="K847" s="6">
        <v>86608</v>
      </c>
    </row>
    <row r="848" spans="1:11" x14ac:dyDescent="0.3">
      <c r="A848" t="s">
        <v>1025</v>
      </c>
      <c r="B848" t="s">
        <v>144</v>
      </c>
      <c r="C848">
        <v>74</v>
      </c>
      <c r="D848" t="s">
        <v>17</v>
      </c>
      <c r="E848" t="s">
        <v>48</v>
      </c>
      <c r="F848" t="s">
        <v>62</v>
      </c>
      <c r="G848" s="5">
        <v>45862</v>
      </c>
      <c r="H848" t="str">
        <f t="shared" si="26"/>
        <v>July</v>
      </c>
      <c r="I848" s="5">
        <v>45876</v>
      </c>
      <c r="J848" s="7">
        <f t="shared" si="27"/>
        <v>14</v>
      </c>
      <c r="K848" s="6">
        <v>139188</v>
      </c>
    </row>
    <row r="849" spans="1:11" x14ac:dyDescent="0.3">
      <c r="A849" t="s">
        <v>1026</v>
      </c>
      <c r="B849" t="s">
        <v>86</v>
      </c>
      <c r="C849">
        <v>59</v>
      </c>
      <c r="D849" t="s">
        <v>12</v>
      </c>
      <c r="E849" t="s">
        <v>22</v>
      </c>
      <c r="F849" t="s">
        <v>27</v>
      </c>
      <c r="G849" s="5">
        <v>45979</v>
      </c>
      <c r="H849" t="str">
        <f t="shared" si="26"/>
        <v>November</v>
      </c>
      <c r="I849" s="5">
        <v>45990</v>
      </c>
      <c r="J849" s="7">
        <f t="shared" si="27"/>
        <v>11</v>
      </c>
      <c r="K849" s="6">
        <v>51777</v>
      </c>
    </row>
    <row r="850" spans="1:11" x14ac:dyDescent="0.3">
      <c r="A850" t="s">
        <v>1027</v>
      </c>
      <c r="B850" t="s">
        <v>251</v>
      </c>
      <c r="C850">
        <v>27</v>
      </c>
      <c r="D850" t="s">
        <v>12</v>
      </c>
      <c r="E850" t="s">
        <v>22</v>
      </c>
      <c r="F850" t="s">
        <v>27</v>
      </c>
      <c r="G850" s="5">
        <v>45809</v>
      </c>
      <c r="H850" t="str">
        <f t="shared" si="26"/>
        <v>June</v>
      </c>
      <c r="I850" s="5">
        <v>45816</v>
      </c>
      <c r="J850" s="7">
        <f t="shared" si="27"/>
        <v>7</v>
      </c>
      <c r="K850" s="6">
        <v>60368</v>
      </c>
    </row>
    <row r="851" spans="1:11" x14ac:dyDescent="0.3">
      <c r="A851" t="s">
        <v>1028</v>
      </c>
      <c r="B851" t="s">
        <v>273</v>
      </c>
      <c r="C851">
        <v>88</v>
      </c>
      <c r="D851" t="s">
        <v>12</v>
      </c>
      <c r="E851" t="s">
        <v>33</v>
      </c>
      <c r="F851" t="s">
        <v>59</v>
      </c>
      <c r="G851" s="5">
        <v>45808</v>
      </c>
      <c r="H851" t="str">
        <f t="shared" si="26"/>
        <v>May</v>
      </c>
      <c r="I851" s="5">
        <v>45820</v>
      </c>
      <c r="J851" s="7">
        <f t="shared" si="27"/>
        <v>12</v>
      </c>
      <c r="K851" s="6">
        <v>53004</v>
      </c>
    </row>
    <row r="852" spans="1:11" x14ac:dyDescent="0.3">
      <c r="A852" t="s">
        <v>1029</v>
      </c>
      <c r="B852" t="s">
        <v>353</v>
      </c>
      <c r="C852">
        <v>54</v>
      </c>
      <c r="D852" t="s">
        <v>12</v>
      </c>
      <c r="E852" t="s">
        <v>26</v>
      </c>
      <c r="F852" t="s">
        <v>27</v>
      </c>
      <c r="G852" s="5">
        <v>45673</v>
      </c>
      <c r="H852" t="str">
        <f t="shared" si="26"/>
        <v>January</v>
      </c>
      <c r="I852" s="5">
        <v>45675</v>
      </c>
      <c r="J852" s="7">
        <f t="shared" si="27"/>
        <v>2</v>
      </c>
      <c r="K852" s="6">
        <v>12604</v>
      </c>
    </row>
    <row r="853" spans="1:11" x14ac:dyDescent="0.3">
      <c r="A853" t="s">
        <v>1030</v>
      </c>
      <c r="B853" t="s">
        <v>467</v>
      </c>
      <c r="C853">
        <v>14</v>
      </c>
      <c r="D853" t="s">
        <v>17</v>
      </c>
      <c r="E853" t="s">
        <v>30</v>
      </c>
      <c r="F853" t="s">
        <v>59</v>
      </c>
      <c r="G853" s="5">
        <v>45692</v>
      </c>
      <c r="H853" t="str">
        <f t="shared" si="26"/>
        <v>February</v>
      </c>
      <c r="I853" s="5">
        <v>45702</v>
      </c>
      <c r="J853" s="7">
        <f t="shared" si="27"/>
        <v>10</v>
      </c>
      <c r="K853" s="6">
        <v>71500</v>
      </c>
    </row>
    <row r="854" spans="1:11" x14ac:dyDescent="0.3">
      <c r="A854" t="s">
        <v>1031</v>
      </c>
      <c r="B854" t="s">
        <v>89</v>
      </c>
      <c r="C854">
        <v>68</v>
      </c>
      <c r="D854" t="s">
        <v>17</v>
      </c>
      <c r="E854" t="s">
        <v>30</v>
      </c>
      <c r="F854" t="s">
        <v>42</v>
      </c>
      <c r="G854" s="5">
        <v>45798</v>
      </c>
      <c r="H854" t="str">
        <f t="shared" si="26"/>
        <v>May</v>
      </c>
      <c r="I854" s="5">
        <v>45804</v>
      </c>
      <c r="J854" s="7">
        <f t="shared" si="27"/>
        <v>6</v>
      </c>
      <c r="K854" s="6">
        <v>46854</v>
      </c>
    </row>
    <row r="855" spans="1:11" x14ac:dyDescent="0.3">
      <c r="A855" t="s">
        <v>1032</v>
      </c>
      <c r="B855" t="s">
        <v>301</v>
      </c>
      <c r="C855">
        <v>6</v>
      </c>
      <c r="D855" t="s">
        <v>17</v>
      </c>
      <c r="E855" t="s">
        <v>102</v>
      </c>
      <c r="F855" t="s">
        <v>59</v>
      </c>
      <c r="G855" s="5">
        <v>45801</v>
      </c>
      <c r="H855" t="str">
        <f t="shared" si="26"/>
        <v>May</v>
      </c>
      <c r="I855" s="5">
        <v>45805</v>
      </c>
      <c r="J855" s="7">
        <f t="shared" si="27"/>
        <v>4</v>
      </c>
      <c r="K855" s="6">
        <v>19852</v>
      </c>
    </row>
    <row r="856" spans="1:11" x14ac:dyDescent="0.3">
      <c r="A856" t="s">
        <v>1033</v>
      </c>
      <c r="B856" t="s">
        <v>245</v>
      </c>
      <c r="C856">
        <v>5</v>
      </c>
      <c r="D856" t="s">
        <v>12</v>
      </c>
      <c r="E856" t="s">
        <v>30</v>
      </c>
      <c r="F856" t="s">
        <v>34</v>
      </c>
      <c r="G856" s="5">
        <v>45909</v>
      </c>
      <c r="H856" t="str">
        <f t="shared" si="26"/>
        <v>September</v>
      </c>
      <c r="I856" s="5">
        <v>45917</v>
      </c>
      <c r="J856" s="7">
        <f t="shared" si="27"/>
        <v>8</v>
      </c>
      <c r="K856" s="6">
        <v>51592</v>
      </c>
    </row>
    <row r="857" spans="1:11" x14ac:dyDescent="0.3">
      <c r="A857" t="s">
        <v>1034</v>
      </c>
      <c r="B857" t="s">
        <v>50</v>
      </c>
      <c r="C857">
        <v>31</v>
      </c>
      <c r="D857" t="s">
        <v>12</v>
      </c>
      <c r="E857" t="s">
        <v>26</v>
      </c>
      <c r="F857" t="s">
        <v>59</v>
      </c>
      <c r="G857" s="5">
        <v>45662</v>
      </c>
      <c r="H857" t="str">
        <f t="shared" si="26"/>
        <v>January</v>
      </c>
      <c r="I857" s="5">
        <v>45671</v>
      </c>
      <c r="J857" s="7">
        <f t="shared" si="27"/>
        <v>9</v>
      </c>
      <c r="K857" s="6">
        <v>48186</v>
      </c>
    </row>
    <row r="858" spans="1:11" x14ac:dyDescent="0.3">
      <c r="A858" t="s">
        <v>1035</v>
      </c>
      <c r="B858" t="s">
        <v>139</v>
      </c>
      <c r="C858">
        <v>58</v>
      </c>
      <c r="D858" t="s">
        <v>12</v>
      </c>
      <c r="E858" t="s">
        <v>48</v>
      </c>
      <c r="F858" t="s">
        <v>62</v>
      </c>
      <c r="G858" s="5">
        <v>45962</v>
      </c>
      <c r="H858" t="str">
        <f t="shared" si="26"/>
        <v>November</v>
      </c>
      <c r="I858" s="5">
        <v>45965</v>
      </c>
      <c r="J858" s="7">
        <f t="shared" si="27"/>
        <v>3</v>
      </c>
      <c r="K858" s="6">
        <v>23580</v>
      </c>
    </row>
    <row r="859" spans="1:11" x14ac:dyDescent="0.3">
      <c r="A859" t="s">
        <v>1036</v>
      </c>
      <c r="B859" t="s">
        <v>54</v>
      </c>
      <c r="C859">
        <v>10</v>
      </c>
      <c r="D859" t="s">
        <v>12</v>
      </c>
      <c r="E859" t="s">
        <v>102</v>
      </c>
      <c r="F859" t="s">
        <v>62</v>
      </c>
      <c r="G859" s="5">
        <v>45852</v>
      </c>
      <c r="H859" t="str">
        <f t="shared" si="26"/>
        <v>July</v>
      </c>
      <c r="I859" s="5">
        <v>45854</v>
      </c>
      <c r="J859" s="7">
        <f t="shared" si="27"/>
        <v>2</v>
      </c>
      <c r="K859" s="6">
        <v>11326</v>
      </c>
    </row>
    <row r="860" spans="1:11" x14ac:dyDescent="0.3">
      <c r="A860" t="s">
        <v>1037</v>
      </c>
      <c r="B860" t="s">
        <v>241</v>
      </c>
      <c r="C860">
        <v>33</v>
      </c>
      <c r="D860" t="s">
        <v>12</v>
      </c>
      <c r="E860" t="s">
        <v>48</v>
      </c>
      <c r="F860" t="s">
        <v>19</v>
      </c>
      <c r="G860" s="5">
        <v>45987</v>
      </c>
      <c r="H860" t="str">
        <f t="shared" si="26"/>
        <v>November</v>
      </c>
      <c r="I860" s="5">
        <v>46000</v>
      </c>
      <c r="J860" s="7">
        <f t="shared" si="27"/>
        <v>13</v>
      </c>
      <c r="K860" s="6">
        <v>145535</v>
      </c>
    </row>
    <row r="861" spans="1:11" x14ac:dyDescent="0.3">
      <c r="A861" t="s">
        <v>1038</v>
      </c>
      <c r="B861" t="s">
        <v>127</v>
      </c>
      <c r="C861">
        <v>72</v>
      </c>
      <c r="D861" t="s">
        <v>17</v>
      </c>
      <c r="E861" t="s">
        <v>26</v>
      </c>
      <c r="F861" t="s">
        <v>34</v>
      </c>
      <c r="G861" s="5">
        <v>45898</v>
      </c>
      <c r="H861" t="str">
        <f t="shared" si="26"/>
        <v>August</v>
      </c>
      <c r="I861" s="5">
        <v>45903</v>
      </c>
      <c r="J861" s="7">
        <f t="shared" si="27"/>
        <v>5</v>
      </c>
      <c r="K861" s="6">
        <v>20170</v>
      </c>
    </row>
    <row r="862" spans="1:11" x14ac:dyDescent="0.3">
      <c r="A862" t="s">
        <v>1039</v>
      </c>
      <c r="B862" t="s">
        <v>236</v>
      </c>
      <c r="C862">
        <v>41</v>
      </c>
      <c r="D862" t="s">
        <v>12</v>
      </c>
      <c r="E862" t="s">
        <v>45</v>
      </c>
      <c r="F862" t="s">
        <v>62</v>
      </c>
      <c r="G862" s="5">
        <v>45875</v>
      </c>
      <c r="H862" t="str">
        <f t="shared" si="26"/>
        <v>August</v>
      </c>
      <c r="I862" s="5">
        <v>45881</v>
      </c>
      <c r="J862" s="7">
        <f t="shared" si="27"/>
        <v>6</v>
      </c>
      <c r="K862" s="6">
        <v>46104</v>
      </c>
    </row>
    <row r="863" spans="1:11" x14ac:dyDescent="0.3">
      <c r="A863" t="s">
        <v>1040</v>
      </c>
      <c r="B863" t="s">
        <v>249</v>
      </c>
      <c r="C863">
        <v>41</v>
      </c>
      <c r="D863" t="s">
        <v>12</v>
      </c>
      <c r="E863" t="s">
        <v>26</v>
      </c>
      <c r="F863" t="s">
        <v>42</v>
      </c>
      <c r="G863" s="5">
        <v>45727</v>
      </c>
      <c r="H863" t="str">
        <f t="shared" si="26"/>
        <v>March</v>
      </c>
      <c r="I863" s="5">
        <v>45736</v>
      </c>
      <c r="J863" s="7">
        <f t="shared" si="27"/>
        <v>9</v>
      </c>
      <c r="K863" s="6">
        <v>66042</v>
      </c>
    </row>
    <row r="864" spans="1:11" x14ac:dyDescent="0.3">
      <c r="A864" t="s">
        <v>1041</v>
      </c>
      <c r="B864" t="s">
        <v>52</v>
      </c>
      <c r="C864">
        <v>39</v>
      </c>
      <c r="D864" t="s">
        <v>17</v>
      </c>
      <c r="E864" t="s">
        <v>48</v>
      </c>
      <c r="F864" t="s">
        <v>34</v>
      </c>
      <c r="G864" s="5">
        <v>45714</v>
      </c>
      <c r="H864" t="str">
        <f t="shared" si="26"/>
        <v>February</v>
      </c>
      <c r="I864" s="5">
        <v>45721</v>
      </c>
      <c r="J864" s="7">
        <f t="shared" si="27"/>
        <v>7</v>
      </c>
      <c r="K864" s="6">
        <v>80283</v>
      </c>
    </row>
    <row r="865" spans="1:11" x14ac:dyDescent="0.3">
      <c r="A865" t="s">
        <v>1042</v>
      </c>
      <c r="B865" t="s">
        <v>690</v>
      </c>
      <c r="C865">
        <v>74</v>
      </c>
      <c r="D865" t="s">
        <v>12</v>
      </c>
      <c r="E865" t="s">
        <v>13</v>
      </c>
      <c r="F865" t="s">
        <v>62</v>
      </c>
      <c r="G865" s="5">
        <v>46022</v>
      </c>
      <c r="H865" t="str">
        <f t="shared" si="26"/>
        <v>December</v>
      </c>
      <c r="I865" s="5">
        <v>46025</v>
      </c>
      <c r="J865" s="7">
        <f t="shared" si="27"/>
        <v>3</v>
      </c>
      <c r="K865" s="6">
        <v>12231</v>
      </c>
    </row>
    <row r="866" spans="1:11" x14ac:dyDescent="0.3">
      <c r="A866" t="s">
        <v>1043</v>
      </c>
      <c r="B866" t="s">
        <v>112</v>
      </c>
      <c r="C866">
        <v>90</v>
      </c>
      <c r="D866" t="s">
        <v>17</v>
      </c>
      <c r="E866" t="s">
        <v>33</v>
      </c>
      <c r="F866" t="s">
        <v>62</v>
      </c>
      <c r="G866" s="5">
        <v>45728</v>
      </c>
      <c r="H866" t="str">
        <f t="shared" si="26"/>
        <v>March</v>
      </c>
      <c r="I866" s="5">
        <v>45742</v>
      </c>
      <c r="J866" s="7">
        <f t="shared" si="27"/>
        <v>14</v>
      </c>
      <c r="K866" s="6">
        <v>69076</v>
      </c>
    </row>
    <row r="867" spans="1:11" x14ac:dyDescent="0.3">
      <c r="A867" t="s">
        <v>1044</v>
      </c>
      <c r="B867" t="s">
        <v>353</v>
      </c>
      <c r="C867">
        <v>18</v>
      </c>
      <c r="D867" t="s">
        <v>12</v>
      </c>
      <c r="E867" t="s">
        <v>26</v>
      </c>
      <c r="F867" t="s">
        <v>14</v>
      </c>
      <c r="G867" s="5">
        <v>45743</v>
      </c>
      <c r="H867" t="str">
        <f t="shared" si="26"/>
        <v>March</v>
      </c>
      <c r="I867" s="5">
        <v>45751</v>
      </c>
      <c r="J867" s="7">
        <f t="shared" si="27"/>
        <v>8</v>
      </c>
      <c r="K867" s="6">
        <v>39544</v>
      </c>
    </row>
    <row r="868" spans="1:11" x14ac:dyDescent="0.3">
      <c r="A868" t="s">
        <v>1045</v>
      </c>
      <c r="B868" t="s">
        <v>481</v>
      </c>
      <c r="C868">
        <v>36</v>
      </c>
      <c r="D868" t="s">
        <v>12</v>
      </c>
      <c r="E868" t="s">
        <v>18</v>
      </c>
      <c r="F868" t="s">
        <v>19</v>
      </c>
      <c r="G868" s="5">
        <v>45699</v>
      </c>
      <c r="H868" t="str">
        <f t="shared" si="26"/>
        <v>February</v>
      </c>
      <c r="I868" s="5">
        <v>45702</v>
      </c>
      <c r="J868" s="7">
        <f t="shared" si="27"/>
        <v>3</v>
      </c>
      <c r="K868" s="6">
        <v>18330</v>
      </c>
    </row>
    <row r="869" spans="1:11" x14ac:dyDescent="0.3">
      <c r="A869" t="s">
        <v>1046</v>
      </c>
      <c r="B869" t="s">
        <v>66</v>
      </c>
      <c r="C869">
        <v>31</v>
      </c>
      <c r="D869" t="s">
        <v>12</v>
      </c>
      <c r="E869" t="s">
        <v>33</v>
      </c>
      <c r="F869" t="s">
        <v>23</v>
      </c>
      <c r="G869" s="5">
        <v>45673</v>
      </c>
      <c r="H869" t="str">
        <f t="shared" si="26"/>
        <v>January</v>
      </c>
      <c r="I869" s="5">
        <v>45686</v>
      </c>
      <c r="J869" s="7">
        <f t="shared" si="27"/>
        <v>13</v>
      </c>
      <c r="K869" s="6">
        <v>79846</v>
      </c>
    </row>
    <row r="870" spans="1:11" x14ac:dyDescent="0.3">
      <c r="A870" t="s">
        <v>1047</v>
      </c>
      <c r="B870" t="s">
        <v>36</v>
      </c>
      <c r="C870">
        <v>4</v>
      </c>
      <c r="D870" t="s">
        <v>12</v>
      </c>
      <c r="E870" t="s">
        <v>33</v>
      </c>
      <c r="F870" t="s">
        <v>27</v>
      </c>
      <c r="G870" s="5">
        <v>45755</v>
      </c>
      <c r="H870" t="str">
        <f t="shared" si="26"/>
        <v>April</v>
      </c>
      <c r="I870" s="5">
        <v>45758</v>
      </c>
      <c r="J870" s="7">
        <f t="shared" si="27"/>
        <v>3</v>
      </c>
      <c r="K870" s="6">
        <v>19236</v>
      </c>
    </row>
    <row r="871" spans="1:11" x14ac:dyDescent="0.3">
      <c r="A871" t="s">
        <v>1048</v>
      </c>
      <c r="B871" t="s">
        <v>381</v>
      </c>
      <c r="C871">
        <v>28</v>
      </c>
      <c r="D871" t="s">
        <v>12</v>
      </c>
      <c r="E871" t="s">
        <v>18</v>
      </c>
      <c r="F871" t="s">
        <v>42</v>
      </c>
      <c r="G871" s="5">
        <v>45695</v>
      </c>
      <c r="H871" t="str">
        <f t="shared" si="26"/>
        <v>February</v>
      </c>
      <c r="I871" s="5">
        <v>45705</v>
      </c>
      <c r="J871" s="7">
        <f t="shared" si="27"/>
        <v>10</v>
      </c>
      <c r="K871" s="6">
        <v>57630</v>
      </c>
    </row>
    <row r="872" spans="1:11" x14ac:dyDescent="0.3">
      <c r="A872" t="s">
        <v>1049</v>
      </c>
      <c r="B872" t="s">
        <v>390</v>
      </c>
      <c r="C872">
        <v>17</v>
      </c>
      <c r="D872" t="s">
        <v>12</v>
      </c>
      <c r="E872" t="s">
        <v>18</v>
      </c>
      <c r="F872" t="s">
        <v>23</v>
      </c>
      <c r="G872" s="5">
        <v>45743</v>
      </c>
      <c r="H872" t="str">
        <f t="shared" si="26"/>
        <v>March</v>
      </c>
      <c r="I872" s="5">
        <v>45755</v>
      </c>
      <c r="J872" s="7">
        <f t="shared" si="27"/>
        <v>12</v>
      </c>
      <c r="K872" s="6">
        <v>49452</v>
      </c>
    </row>
    <row r="873" spans="1:11" x14ac:dyDescent="0.3">
      <c r="A873" t="s">
        <v>1050</v>
      </c>
      <c r="B873" t="s">
        <v>275</v>
      </c>
      <c r="C873">
        <v>15</v>
      </c>
      <c r="D873" t="s">
        <v>12</v>
      </c>
      <c r="E873" t="s">
        <v>26</v>
      </c>
      <c r="F873" t="s">
        <v>59</v>
      </c>
      <c r="G873" s="5">
        <v>45789</v>
      </c>
      <c r="H873" t="str">
        <f t="shared" si="26"/>
        <v>May</v>
      </c>
      <c r="I873" s="5">
        <v>45794</v>
      </c>
      <c r="J873" s="7">
        <f t="shared" si="27"/>
        <v>5</v>
      </c>
      <c r="K873" s="6">
        <v>31740</v>
      </c>
    </row>
    <row r="874" spans="1:11" x14ac:dyDescent="0.3">
      <c r="A874" t="s">
        <v>1051</v>
      </c>
      <c r="B874" t="s">
        <v>154</v>
      </c>
      <c r="C874">
        <v>46</v>
      </c>
      <c r="D874" t="s">
        <v>17</v>
      </c>
      <c r="E874" t="s">
        <v>33</v>
      </c>
      <c r="F874" t="s">
        <v>23</v>
      </c>
      <c r="G874" s="5">
        <v>45959</v>
      </c>
      <c r="H874" t="str">
        <f t="shared" si="26"/>
        <v>October</v>
      </c>
      <c r="I874" s="5">
        <v>45971</v>
      </c>
      <c r="J874" s="7">
        <f t="shared" si="27"/>
        <v>12</v>
      </c>
      <c r="K874" s="6">
        <v>142776</v>
      </c>
    </row>
    <row r="875" spans="1:11" x14ac:dyDescent="0.3">
      <c r="A875" t="s">
        <v>1052</v>
      </c>
      <c r="B875" t="s">
        <v>361</v>
      </c>
      <c r="C875">
        <v>14</v>
      </c>
      <c r="D875" t="s">
        <v>12</v>
      </c>
      <c r="E875" t="s">
        <v>22</v>
      </c>
      <c r="F875" t="s">
        <v>14</v>
      </c>
      <c r="G875" s="5">
        <v>45741</v>
      </c>
      <c r="H875" t="str">
        <f t="shared" si="26"/>
        <v>March</v>
      </c>
      <c r="I875" s="5">
        <v>45745</v>
      </c>
      <c r="J875" s="7">
        <f t="shared" si="27"/>
        <v>4</v>
      </c>
      <c r="K875" s="6">
        <v>37524</v>
      </c>
    </row>
    <row r="876" spans="1:11" x14ac:dyDescent="0.3">
      <c r="A876" t="s">
        <v>1053</v>
      </c>
      <c r="B876" t="s">
        <v>176</v>
      </c>
      <c r="C876">
        <v>44</v>
      </c>
      <c r="D876" t="s">
        <v>12</v>
      </c>
      <c r="E876" t="s">
        <v>13</v>
      </c>
      <c r="F876" t="s">
        <v>27</v>
      </c>
      <c r="G876" s="5">
        <v>45852</v>
      </c>
      <c r="H876" t="str">
        <f t="shared" si="26"/>
        <v>July</v>
      </c>
      <c r="I876" s="5">
        <v>45864</v>
      </c>
      <c r="J876" s="7">
        <f t="shared" si="27"/>
        <v>12</v>
      </c>
      <c r="K876" s="6">
        <v>107220</v>
      </c>
    </row>
    <row r="877" spans="1:11" x14ac:dyDescent="0.3">
      <c r="A877" t="s">
        <v>1054</v>
      </c>
      <c r="B877" t="s">
        <v>64</v>
      </c>
      <c r="C877">
        <v>40</v>
      </c>
      <c r="D877" t="s">
        <v>17</v>
      </c>
      <c r="E877" t="s">
        <v>18</v>
      </c>
      <c r="F877" t="s">
        <v>34</v>
      </c>
      <c r="G877" s="5">
        <v>46019</v>
      </c>
      <c r="H877" t="str">
        <f t="shared" si="26"/>
        <v>December</v>
      </c>
      <c r="I877" s="5">
        <v>46028</v>
      </c>
      <c r="J877" s="7">
        <f t="shared" si="27"/>
        <v>9</v>
      </c>
      <c r="K877" s="6">
        <v>86904</v>
      </c>
    </row>
    <row r="878" spans="1:11" x14ac:dyDescent="0.3">
      <c r="A878" t="s">
        <v>1055</v>
      </c>
      <c r="B878" t="s">
        <v>455</v>
      </c>
      <c r="C878">
        <v>14</v>
      </c>
      <c r="D878" t="s">
        <v>17</v>
      </c>
      <c r="E878" t="s">
        <v>33</v>
      </c>
      <c r="F878" t="s">
        <v>42</v>
      </c>
      <c r="G878" s="5">
        <v>45696</v>
      </c>
      <c r="H878" t="str">
        <f t="shared" si="26"/>
        <v>February</v>
      </c>
      <c r="I878" s="5">
        <v>45702</v>
      </c>
      <c r="J878" s="7">
        <f t="shared" si="27"/>
        <v>6</v>
      </c>
      <c r="K878" s="6">
        <v>32190</v>
      </c>
    </row>
    <row r="879" spans="1:11" x14ac:dyDescent="0.3">
      <c r="A879" t="s">
        <v>1056</v>
      </c>
      <c r="B879" t="s">
        <v>397</v>
      </c>
      <c r="C879">
        <v>45</v>
      </c>
      <c r="D879" t="s">
        <v>12</v>
      </c>
      <c r="E879" t="s">
        <v>22</v>
      </c>
      <c r="F879" t="s">
        <v>42</v>
      </c>
      <c r="G879" s="5">
        <v>45890</v>
      </c>
      <c r="H879" t="str">
        <f t="shared" si="26"/>
        <v>August</v>
      </c>
      <c r="I879" s="5">
        <v>45893</v>
      </c>
      <c r="J879" s="7">
        <f t="shared" si="27"/>
        <v>3</v>
      </c>
      <c r="K879" s="6">
        <v>21720</v>
      </c>
    </row>
    <row r="880" spans="1:11" x14ac:dyDescent="0.3">
      <c r="A880" t="s">
        <v>1057</v>
      </c>
      <c r="B880" t="s">
        <v>160</v>
      </c>
      <c r="C880">
        <v>73</v>
      </c>
      <c r="D880" t="s">
        <v>17</v>
      </c>
      <c r="E880" t="s">
        <v>48</v>
      </c>
      <c r="F880" t="s">
        <v>14</v>
      </c>
      <c r="G880" s="5">
        <v>45703</v>
      </c>
      <c r="H880" t="str">
        <f t="shared" si="26"/>
        <v>February</v>
      </c>
      <c r="I880" s="5">
        <v>45708</v>
      </c>
      <c r="J880" s="7">
        <f t="shared" si="27"/>
        <v>5</v>
      </c>
      <c r="K880" s="6">
        <v>41505</v>
      </c>
    </row>
    <row r="881" spans="1:11" x14ac:dyDescent="0.3">
      <c r="A881" t="s">
        <v>1058</v>
      </c>
      <c r="B881" t="s">
        <v>461</v>
      </c>
      <c r="C881">
        <v>23</v>
      </c>
      <c r="D881" t="s">
        <v>12</v>
      </c>
      <c r="E881" t="s">
        <v>39</v>
      </c>
      <c r="F881" t="s">
        <v>27</v>
      </c>
      <c r="G881" s="5">
        <v>45706</v>
      </c>
      <c r="H881" t="str">
        <f t="shared" si="26"/>
        <v>February</v>
      </c>
      <c r="I881" s="5">
        <v>45707</v>
      </c>
      <c r="J881" s="7">
        <f t="shared" si="27"/>
        <v>1</v>
      </c>
      <c r="K881" s="6">
        <v>11113</v>
      </c>
    </row>
    <row r="882" spans="1:11" x14ac:dyDescent="0.3">
      <c r="A882" t="s">
        <v>1059</v>
      </c>
      <c r="B882" t="s">
        <v>38</v>
      </c>
      <c r="C882">
        <v>38</v>
      </c>
      <c r="D882" t="s">
        <v>17</v>
      </c>
      <c r="E882" t="s">
        <v>30</v>
      </c>
      <c r="F882" t="s">
        <v>27</v>
      </c>
      <c r="G882" s="5">
        <v>45834</v>
      </c>
      <c r="H882" t="str">
        <f t="shared" si="26"/>
        <v>June</v>
      </c>
      <c r="I882" s="5">
        <v>45845</v>
      </c>
      <c r="J882" s="7">
        <f t="shared" si="27"/>
        <v>11</v>
      </c>
      <c r="K882" s="6">
        <v>116336</v>
      </c>
    </row>
    <row r="883" spans="1:11" x14ac:dyDescent="0.3">
      <c r="A883" t="s">
        <v>1060</v>
      </c>
      <c r="B883" t="s">
        <v>220</v>
      </c>
      <c r="C883">
        <v>8</v>
      </c>
      <c r="D883" t="s">
        <v>12</v>
      </c>
      <c r="E883" t="s">
        <v>48</v>
      </c>
      <c r="F883" t="s">
        <v>42</v>
      </c>
      <c r="G883" s="5">
        <v>45666</v>
      </c>
      <c r="H883" t="str">
        <f t="shared" si="26"/>
        <v>January</v>
      </c>
      <c r="I883" s="5">
        <v>45670</v>
      </c>
      <c r="J883" s="7">
        <f t="shared" si="27"/>
        <v>4</v>
      </c>
      <c r="K883" s="6">
        <v>29236</v>
      </c>
    </row>
    <row r="884" spans="1:11" x14ac:dyDescent="0.3">
      <c r="A884" t="s">
        <v>1061</v>
      </c>
      <c r="B884" t="s">
        <v>467</v>
      </c>
      <c r="C884">
        <v>80</v>
      </c>
      <c r="D884" t="s">
        <v>12</v>
      </c>
      <c r="E884" t="s">
        <v>22</v>
      </c>
      <c r="F884" t="s">
        <v>23</v>
      </c>
      <c r="G884" s="5">
        <v>46004</v>
      </c>
      <c r="H884" t="str">
        <f t="shared" si="26"/>
        <v>December</v>
      </c>
      <c r="I884" s="5">
        <v>46011</v>
      </c>
      <c r="J884" s="7">
        <f t="shared" si="27"/>
        <v>7</v>
      </c>
      <c r="K884" s="6">
        <v>61901</v>
      </c>
    </row>
    <row r="885" spans="1:11" x14ac:dyDescent="0.3">
      <c r="A885" t="s">
        <v>1062</v>
      </c>
      <c r="B885" t="s">
        <v>394</v>
      </c>
      <c r="C885">
        <v>4</v>
      </c>
      <c r="D885" t="s">
        <v>17</v>
      </c>
      <c r="E885" t="s">
        <v>48</v>
      </c>
      <c r="F885" t="s">
        <v>34</v>
      </c>
      <c r="G885" s="5">
        <v>45760</v>
      </c>
      <c r="H885" t="str">
        <f t="shared" si="26"/>
        <v>April</v>
      </c>
      <c r="I885" s="5">
        <v>45771</v>
      </c>
      <c r="J885" s="7">
        <f t="shared" si="27"/>
        <v>11</v>
      </c>
      <c r="K885" s="6">
        <v>62898</v>
      </c>
    </row>
    <row r="886" spans="1:11" x14ac:dyDescent="0.3">
      <c r="A886" t="s">
        <v>1063</v>
      </c>
      <c r="B886" t="s">
        <v>72</v>
      </c>
      <c r="C886">
        <v>83</v>
      </c>
      <c r="D886" t="s">
        <v>17</v>
      </c>
      <c r="E886" t="s">
        <v>13</v>
      </c>
      <c r="F886" t="s">
        <v>19</v>
      </c>
      <c r="G886" s="5">
        <v>45947</v>
      </c>
      <c r="H886" t="str">
        <f t="shared" si="26"/>
        <v>October</v>
      </c>
      <c r="I886" s="5">
        <v>45961</v>
      </c>
      <c r="J886" s="7">
        <f t="shared" si="27"/>
        <v>14</v>
      </c>
      <c r="K886" s="6">
        <v>150094</v>
      </c>
    </row>
    <row r="887" spans="1:11" x14ac:dyDescent="0.3">
      <c r="A887" t="s">
        <v>1064</v>
      </c>
      <c r="B887" t="s">
        <v>306</v>
      </c>
      <c r="C887">
        <v>31</v>
      </c>
      <c r="D887" t="s">
        <v>12</v>
      </c>
      <c r="E887" t="s">
        <v>13</v>
      </c>
      <c r="F887" t="s">
        <v>62</v>
      </c>
      <c r="G887" s="5">
        <v>45904</v>
      </c>
      <c r="H887" t="str">
        <f t="shared" si="26"/>
        <v>September</v>
      </c>
      <c r="I887" s="5">
        <v>45911</v>
      </c>
      <c r="J887" s="7">
        <f t="shared" si="27"/>
        <v>7</v>
      </c>
      <c r="K887" s="6">
        <v>40334</v>
      </c>
    </row>
    <row r="888" spans="1:11" x14ac:dyDescent="0.3">
      <c r="A888" t="s">
        <v>1065</v>
      </c>
      <c r="B888" t="s">
        <v>325</v>
      </c>
      <c r="C888">
        <v>24</v>
      </c>
      <c r="D888" t="s">
        <v>12</v>
      </c>
      <c r="E888" t="s">
        <v>102</v>
      </c>
      <c r="F888" t="s">
        <v>34</v>
      </c>
      <c r="G888" s="5">
        <v>45770</v>
      </c>
      <c r="H888" t="str">
        <f t="shared" si="26"/>
        <v>April</v>
      </c>
      <c r="I888" s="5">
        <v>45779</v>
      </c>
      <c r="J888" s="7">
        <f t="shared" si="27"/>
        <v>9</v>
      </c>
      <c r="K888" s="6">
        <v>105921</v>
      </c>
    </row>
    <row r="889" spans="1:11" x14ac:dyDescent="0.3">
      <c r="A889" t="s">
        <v>1066</v>
      </c>
      <c r="B889" t="s">
        <v>104</v>
      </c>
      <c r="C889">
        <v>7</v>
      </c>
      <c r="D889" t="s">
        <v>17</v>
      </c>
      <c r="E889" t="s">
        <v>13</v>
      </c>
      <c r="F889" t="s">
        <v>62</v>
      </c>
      <c r="G889" s="5">
        <v>45929</v>
      </c>
      <c r="H889" t="str">
        <f t="shared" si="26"/>
        <v>September</v>
      </c>
      <c r="I889" s="5">
        <v>45941</v>
      </c>
      <c r="J889" s="7">
        <f t="shared" si="27"/>
        <v>12</v>
      </c>
      <c r="K889" s="6">
        <v>107904</v>
      </c>
    </row>
    <row r="890" spans="1:11" x14ac:dyDescent="0.3">
      <c r="A890" t="s">
        <v>1067</v>
      </c>
      <c r="B890" t="s">
        <v>220</v>
      </c>
      <c r="C890">
        <v>85</v>
      </c>
      <c r="D890" t="s">
        <v>12</v>
      </c>
      <c r="E890" t="s">
        <v>48</v>
      </c>
      <c r="F890" t="s">
        <v>42</v>
      </c>
      <c r="G890" s="5">
        <v>45724</v>
      </c>
      <c r="H890" t="str">
        <f t="shared" si="26"/>
        <v>March</v>
      </c>
      <c r="I890" s="5">
        <v>45739</v>
      </c>
      <c r="J890" s="7">
        <f t="shared" si="27"/>
        <v>15</v>
      </c>
      <c r="K890" s="6">
        <v>145305</v>
      </c>
    </row>
    <row r="891" spans="1:11" x14ac:dyDescent="0.3">
      <c r="A891" t="s">
        <v>1068</v>
      </c>
      <c r="B891" t="s">
        <v>461</v>
      </c>
      <c r="C891">
        <v>35</v>
      </c>
      <c r="D891" t="s">
        <v>17</v>
      </c>
      <c r="E891" t="s">
        <v>13</v>
      </c>
      <c r="F891" t="s">
        <v>23</v>
      </c>
      <c r="G891" s="5">
        <v>45790</v>
      </c>
      <c r="H891" t="str">
        <f t="shared" si="26"/>
        <v>May</v>
      </c>
      <c r="I891" s="5">
        <v>45795</v>
      </c>
      <c r="J891" s="7">
        <f t="shared" si="27"/>
        <v>5</v>
      </c>
      <c r="K891" s="6">
        <v>47745</v>
      </c>
    </row>
    <row r="892" spans="1:11" x14ac:dyDescent="0.3">
      <c r="A892" t="s">
        <v>1069</v>
      </c>
      <c r="B892" t="s">
        <v>259</v>
      </c>
      <c r="C892">
        <v>24</v>
      </c>
      <c r="D892" t="s">
        <v>17</v>
      </c>
      <c r="E892" t="s">
        <v>48</v>
      </c>
      <c r="F892" t="s">
        <v>14</v>
      </c>
      <c r="G892" s="5">
        <v>45863</v>
      </c>
      <c r="H892" t="str">
        <f t="shared" si="26"/>
        <v>July</v>
      </c>
      <c r="I892" s="5">
        <v>45872</v>
      </c>
      <c r="J892" s="7">
        <f t="shared" si="27"/>
        <v>9</v>
      </c>
      <c r="K892" s="6">
        <v>75420</v>
      </c>
    </row>
    <row r="893" spans="1:11" x14ac:dyDescent="0.3">
      <c r="A893" t="s">
        <v>1070</v>
      </c>
      <c r="B893" t="s">
        <v>54</v>
      </c>
      <c r="C893">
        <v>86</v>
      </c>
      <c r="D893" t="s">
        <v>12</v>
      </c>
      <c r="E893" t="s">
        <v>45</v>
      </c>
      <c r="F893" t="s">
        <v>59</v>
      </c>
      <c r="G893" s="5">
        <v>45949</v>
      </c>
      <c r="H893" t="str">
        <f t="shared" si="26"/>
        <v>October</v>
      </c>
      <c r="I893" s="5">
        <v>45954</v>
      </c>
      <c r="J893" s="7">
        <f t="shared" si="27"/>
        <v>5</v>
      </c>
      <c r="K893" s="6">
        <v>42350</v>
      </c>
    </row>
    <row r="894" spans="1:11" x14ac:dyDescent="0.3">
      <c r="A894" t="s">
        <v>1071</v>
      </c>
      <c r="B894" t="s">
        <v>267</v>
      </c>
      <c r="C894">
        <v>77</v>
      </c>
      <c r="D894" t="s">
        <v>17</v>
      </c>
      <c r="E894" t="s">
        <v>45</v>
      </c>
      <c r="F894" t="s">
        <v>34</v>
      </c>
      <c r="G894" s="5">
        <v>45705</v>
      </c>
      <c r="H894" t="str">
        <f t="shared" si="26"/>
        <v>February</v>
      </c>
      <c r="I894" s="5">
        <v>45712</v>
      </c>
      <c r="J894" s="7">
        <f t="shared" si="27"/>
        <v>7</v>
      </c>
      <c r="K894" s="6">
        <v>59633</v>
      </c>
    </row>
    <row r="895" spans="1:11" x14ac:dyDescent="0.3">
      <c r="A895" t="s">
        <v>1072</v>
      </c>
      <c r="B895" t="s">
        <v>168</v>
      </c>
      <c r="C895">
        <v>58</v>
      </c>
      <c r="D895" t="s">
        <v>17</v>
      </c>
      <c r="E895" t="s">
        <v>18</v>
      </c>
      <c r="F895" t="s">
        <v>23</v>
      </c>
      <c r="G895" s="5">
        <v>45894</v>
      </c>
      <c r="H895" t="str">
        <f t="shared" si="26"/>
        <v>August</v>
      </c>
      <c r="I895" s="5">
        <v>45898</v>
      </c>
      <c r="J895" s="7">
        <f t="shared" si="27"/>
        <v>4</v>
      </c>
      <c r="K895" s="6">
        <v>43936</v>
      </c>
    </row>
    <row r="896" spans="1:11" x14ac:dyDescent="0.3">
      <c r="A896" t="s">
        <v>1073</v>
      </c>
      <c r="B896" t="s">
        <v>120</v>
      </c>
      <c r="C896">
        <v>79</v>
      </c>
      <c r="D896" t="s">
        <v>12</v>
      </c>
      <c r="E896" t="s">
        <v>18</v>
      </c>
      <c r="F896" t="s">
        <v>19</v>
      </c>
      <c r="G896" s="5">
        <v>45766</v>
      </c>
      <c r="H896" t="str">
        <f t="shared" si="26"/>
        <v>April</v>
      </c>
      <c r="I896" s="5">
        <v>45777</v>
      </c>
      <c r="J896" s="7">
        <f t="shared" si="27"/>
        <v>11</v>
      </c>
      <c r="K896" s="6">
        <v>72325</v>
      </c>
    </row>
    <row r="897" spans="1:11" x14ac:dyDescent="0.3">
      <c r="A897" t="s">
        <v>1074</v>
      </c>
      <c r="B897" t="s">
        <v>144</v>
      </c>
      <c r="C897">
        <v>64</v>
      </c>
      <c r="D897" t="s">
        <v>17</v>
      </c>
      <c r="E897" t="s">
        <v>18</v>
      </c>
      <c r="F897" t="s">
        <v>23</v>
      </c>
      <c r="G897" s="5">
        <v>45893</v>
      </c>
      <c r="H897" t="str">
        <f t="shared" si="26"/>
        <v>August</v>
      </c>
      <c r="I897" s="5">
        <v>45902</v>
      </c>
      <c r="J897" s="7">
        <f t="shared" si="27"/>
        <v>9</v>
      </c>
      <c r="K897" s="6">
        <v>98991</v>
      </c>
    </row>
    <row r="898" spans="1:11" x14ac:dyDescent="0.3">
      <c r="A898" t="s">
        <v>1075</v>
      </c>
      <c r="B898" t="s">
        <v>247</v>
      </c>
      <c r="C898">
        <v>65</v>
      </c>
      <c r="D898" t="s">
        <v>12</v>
      </c>
      <c r="E898" t="s">
        <v>30</v>
      </c>
      <c r="F898" t="s">
        <v>59</v>
      </c>
      <c r="G898" s="5">
        <v>46017</v>
      </c>
      <c r="H898" t="str">
        <f t="shared" ref="H898:H961" si="28">TEXT(G898,"mmmm")</f>
        <v>December</v>
      </c>
      <c r="I898" s="5">
        <v>46021</v>
      </c>
      <c r="J898" s="7">
        <f t="shared" si="27"/>
        <v>4</v>
      </c>
      <c r="K898" s="6">
        <v>25128</v>
      </c>
    </row>
    <row r="899" spans="1:11" x14ac:dyDescent="0.3">
      <c r="A899" t="s">
        <v>1076</v>
      </c>
      <c r="B899" t="s">
        <v>712</v>
      </c>
      <c r="C899">
        <v>47</v>
      </c>
      <c r="D899" t="s">
        <v>17</v>
      </c>
      <c r="E899" t="s">
        <v>22</v>
      </c>
      <c r="F899" t="s">
        <v>19</v>
      </c>
      <c r="G899" s="5">
        <v>45739</v>
      </c>
      <c r="H899" t="str">
        <f t="shared" si="28"/>
        <v>March</v>
      </c>
      <c r="I899" s="5">
        <v>45744</v>
      </c>
      <c r="J899" s="7">
        <f t="shared" ref="J899:J962" si="29">I899-G899</f>
        <v>5</v>
      </c>
      <c r="K899" s="6">
        <v>37895</v>
      </c>
    </row>
    <row r="900" spans="1:11" x14ac:dyDescent="0.3">
      <c r="A900" t="s">
        <v>1077</v>
      </c>
      <c r="B900" t="s">
        <v>116</v>
      </c>
      <c r="C900">
        <v>1</v>
      </c>
      <c r="D900" t="s">
        <v>12</v>
      </c>
      <c r="E900" t="s">
        <v>22</v>
      </c>
      <c r="F900" t="s">
        <v>14</v>
      </c>
      <c r="G900" s="5">
        <v>45919</v>
      </c>
      <c r="H900" t="str">
        <f t="shared" si="28"/>
        <v>September</v>
      </c>
      <c r="I900" s="5">
        <v>45932</v>
      </c>
      <c r="J900" s="7">
        <f t="shared" si="29"/>
        <v>13</v>
      </c>
      <c r="K900" s="6">
        <v>147550</v>
      </c>
    </row>
    <row r="901" spans="1:11" x14ac:dyDescent="0.3">
      <c r="A901" t="s">
        <v>1078</v>
      </c>
      <c r="B901" t="s">
        <v>203</v>
      </c>
      <c r="C901">
        <v>84</v>
      </c>
      <c r="D901" t="s">
        <v>12</v>
      </c>
      <c r="E901" t="s">
        <v>26</v>
      </c>
      <c r="F901" t="s">
        <v>59</v>
      </c>
      <c r="G901" s="5">
        <v>45955</v>
      </c>
      <c r="H901" t="str">
        <f t="shared" si="28"/>
        <v>October</v>
      </c>
      <c r="I901" s="5">
        <v>45965</v>
      </c>
      <c r="J901" s="7">
        <f t="shared" si="29"/>
        <v>10</v>
      </c>
      <c r="K901" s="6">
        <v>69410</v>
      </c>
    </row>
    <row r="902" spans="1:11" x14ac:dyDescent="0.3">
      <c r="A902" t="s">
        <v>1079</v>
      </c>
      <c r="B902" t="s">
        <v>484</v>
      </c>
      <c r="C902">
        <v>68</v>
      </c>
      <c r="D902" t="s">
        <v>17</v>
      </c>
      <c r="E902" t="s">
        <v>45</v>
      </c>
      <c r="F902" t="s">
        <v>27</v>
      </c>
      <c r="G902" s="5">
        <v>45972</v>
      </c>
      <c r="H902" t="str">
        <f t="shared" si="28"/>
        <v>November</v>
      </c>
      <c r="I902" s="5">
        <v>45983</v>
      </c>
      <c r="J902" s="7">
        <f t="shared" si="29"/>
        <v>11</v>
      </c>
      <c r="K902" s="6">
        <v>63701</v>
      </c>
    </row>
    <row r="903" spans="1:11" x14ac:dyDescent="0.3">
      <c r="A903" t="s">
        <v>1080</v>
      </c>
      <c r="B903" t="s">
        <v>16</v>
      </c>
      <c r="C903">
        <v>6</v>
      </c>
      <c r="D903" t="s">
        <v>17</v>
      </c>
      <c r="E903" t="s">
        <v>102</v>
      </c>
      <c r="F903" t="s">
        <v>27</v>
      </c>
      <c r="G903" s="5">
        <v>45924</v>
      </c>
      <c r="H903" t="str">
        <f t="shared" si="28"/>
        <v>September</v>
      </c>
      <c r="I903" s="5">
        <v>45929</v>
      </c>
      <c r="J903" s="7">
        <f t="shared" si="29"/>
        <v>5</v>
      </c>
      <c r="K903" s="6">
        <v>41580</v>
      </c>
    </row>
    <row r="904" spans="1:11" x14ac:dyDescent="0.3">
      <c r="A904" t="s">
        <v>1081</v>
      </c>
      <c r="B904" t="s">
        <v>484</v>
      </c>
      <c r="C904">
        <v>1</v>
      </c>
      <c r="D904" t="s">
        <v>12</v>
      </c>
      <c r="E904" t="s">
        <v>22</v>
      </c>
      <c r="F904" t="s">
        <v>27</v>
      </c>
      <c r="G904" s="5">
        <v>45887</v>
      </c>
      <c r="H904" t="str">
        <f t="shared" si="28"/>
        <v>August</v>
      </c>
      <c r="I904" s="5">
        <v>45896</v>
      </c>
      <c r="J904" s="7">
        <f t="shared" si="29"/>
        <v>9</v>
      </c>
      <c r="K904" s="6">
        <v>82116</v>
      </c>
    </row>
    <row r="905" spans="1:11" x14ac:dyDescent="0.3">
      <c r="A905" t="s">
        <v>1082</v>
      </c>
      <c r="B905" t="s">
        <v>54</v>
      </c>
      <c r="C905">
        <v>37</v>
      </c>
      <c r="D905" t="s">
        <v>12</v>
      </c>
      <c r="E905" t="s">
        <v>102</v>
      </c>
      <c r="F905" t="s">
        <v>62</v>
      </c>
      <c r="G905" s="5">
        <v>45998</v>
      </c>
      <c r="H905" t="str">
        <f t="shared" si="28"/>
        <v>December</v>
      </c>
      <c r="I905" s="5">
        <v>46010</v>
      </c>
      <c r="J905" s="7">
        <f t="shared" si="29"/>
        <v>12</v>
      </c>
      <c r="K905" s="6">
        <v>96048</v>
      </c>
    </row>
    <row r="906" spans="1:11" x14ac:dyDescent="0.3">
      <c r="A906" t="s">
        <v>1083</v>
      </c>
      <c r="B906" t="s">
        <v>428</v>
      </c>
      <c r="C906">
        <v>8</v>
      </c>
      <c r="D906" t="s">
        <v>12</v>
      </c>
      <c r="E906" t="s">
        <v>22</v>
      </c>
      <c r="F906" t="s">
        <v>23</v>
      </c>
      <c r="G906" s="5">
        <v>45833</v>
      </c>
      <c r="H906" t="str">
        <f t="shared" si="28"/>
        <v>June</v>
      </c>
      <c r="I906" s="5">
        <v>45847</v>
      </c>
      <c r="J906" s="7">
        <f t="shared" si="29"/>
        <v>14</v>
      </c>
      <c r="K906" s="6">
        <v>90146</v>
      </c>
    </row>
    <row r="907" spans="1:11" x14ac:dyDescent="0.3">
      <c r="A907" t="s">
        <v>1084</v>
      </c>
      <c r="B907" t="s">
        <v>82</v>
      </c>
      <c r="C907">
        <v>33</v>
      </c>
      <c r="D907" t="s">
        <v>17</v>
      </c>
      <c r="E907" t="s">
        <v>30</v>
      </c>
      <c r="F907" t="s">
        <v>59</v>
      </c>
      <c r="G907" s="5">
        <v>45730</v>
      </c>
      <c r="H907" t="str">
        <f t="shared" si="28"/>
        <v>March</v>
      </c>
      <c r="I907" s="5">
        <v>45742</v>
      </c>
      <c r="J907" s="7">
        <f t="shared" si="29"/>
        <v>12</v>
      </c>
      <c r="K907" s="6">
        <v>91548</v>
      </c>
    </row>
    <row r="908" spans="1:11" x14ac:dyDescent="0.3">
      <c r="A908" t="s">
        <v>1085</v>
      </c>
      <c r="B908" t="s">
        <v>445</v>
      </c>
      <c r="C908">
        <v>23</v>
      </c>
      <c r="D908" t="s">
        <v>12</v>
      </c>
      <c r="E908" t="s">
        <v>26</v>
      </c>
      <c r="F908" t="s">
        <v>34</v>
      </c>
      <c r="G908" s="5">
        <v>45822</v>
      </c>
      <c r="H908" t="str">
        <f t="shared" si="28"/>
        <v>June</v>
      </c>
      <c r="I908" s="5">
        <v>45836</v>
      </c>
      <c r="J908" s="7">
        <f t="shared" si="29"/>
        <v>14</v>
      </c>
      <c r="K908" s="6">
        <v>140812</v>
      </c>
    </row>
    <row r="909" spans="1:11" x14ac:dyDescent="0.3">
      <c r="A909" t="s">
        <v>1086</v>
      </c>
      <c r="B909" t="s">
        <v>201</v>
      </c>
      <c r="C909">
        <v>14</v>
      </c>
      <c r="D909" t="s">
        <v>12</v>
      </c>
      <c r="E909" t="s">
        <v>33</v>
      </c>
      <c r="F909" t="s">
        <v>62</v>
      </c>
      <c r="G909" s="5">
        <v>45927</v>
      </c>
      <c r="H909" t="str">
        <f t="shared" si="28"/>
        <v>September</v>
      </c>
      <c r="I909" s="5">
        <v>45935</v>
      </c>
      <c r="J909" s="7">
        <f t="shared" si="29"/>
        <v>8</v>
      </c>
      <c r="K909" s="6">
        <v>59720</v>
      </c>
    </row>
    <row r="910" spans="1:11" x14ac:dyDescent="0.3">
      <c r="A910" t="s">
        <v>1087</v>
      </c>
      <c r="B910" t="s">
        <v>394</v>
      </c>
      <c r="C910">
        <v>53</v>
      </c>
      <c r="D910" t="s">
        <v>12</v>
      </c>
      <c r="E910" t="s">
        <v>18</v>
      </c>
      <c r="F910" t="s">
        <v>34</v>
      </c>
      <c r="G910" s="5">
        <v>45987</v>
      </c>
      <c r="H910" t="str">
        <f t="shared" si="28"/>
        <v>November</v>
      </c>
      <c r="I910" s="5">
        <v>45991</v>
      </c>
      <c r="J910" s="7">
        <f t="shared" si="29"/>
        <v>4</v>
      </c>
      <c r="K910" s="6">
        <v>25400</v>
      </c>
    </row>
    <row r="911" spans="1:11" x14ac:dyDescent="0.3">
      <c r="A911" t="s">
        <v>1088</v>
      </c>
      <c r="B911" t="s">
        <v>74</v>
      </c>
      <c r="C911">
        <v>6</v>
      </c>
      <c r="D911" t="s">
        <v>17</v>
      </c>
      <c r="E911" t="s">
        <v>102</v>
      </c>
      <c r="F911" t="s">
        <v>42</v>
      </c>
      <c r="G911" s="5">
        <v>45961</v>
      </c>
      <c r="H911" t="str">
        <f t="shared" si="28"/>
        <v>October</v>
      </c>
      <c r="I911" s="5">
        <v>45963</v>
      </c>
      <c r="J911" s="7">
        <f t="shared" si="29"/>
        <v>2</v>
      </c>
      <c r="K911" s="6">
        <v>18142</v>
      </c>
    </row>
    <row r="912" spans="1:11" x14ac:dyDescent="0.3">
      <c r="A912" t="s">
        <v>1089</v>
      </c>
      <c r="B912" t="s">
        <v>220</v>
      </c>
      <c r="C912">
        <v>42</v>
      </c>
      <c r="D912" t="s">
        <v>17</v>
      </c>
      <c r="E912" t="s">
        <v>45</v>
      </c>
      <c r="F912" t="s">
        <v>23</v>
      </c>
      <c r="G912" s="5">
        <v>46021</v>
      </c>
      <c r="H912" t="str">
        <f t="shared" si="28"/>
        <v>December</v>
      </c>
      <c r="I912" s="5">
        <v>46029</v>
      </c>
      <c r="J912" s="7">
        <f t="shared" si="29"/>
        <v>8</v>
      </c>
      <c r="K912" s="6">
        <v>72080</v>
      </c>
    </row>
    <row r="913" spans="1:11" x14ac:dyDescent="0.3">
      <c r="A913" t="s">
        <v>1090</v>
      </c>
      <c r="B913" t="s">
        <v>690</v>
      </c>
      <c r="C913">
        <v>59</v>
      </c>
      <c r="D913" t="s">
        <v>12</v>
      </c>
      <c r="E913" t="s">
        <v>48</v>
      </c>
      <c r="F913" t="s">
        <v>59</v>
      </c>
      <c r="G913" s="5">
        <v>45702</v>
      </c>
      <c r="H913" t="str">
        <f t="shared" si="28"/>
        <v>February</v>
      </c>
      <c r="I913" s="5">
        <v>45713</v>
      </c>
      <c r="J913" s="7">
        <f t="shared" si="29"/>
        <v>11</v>
      </c>
      <c r="K913" s="6">
        <v>110627</v>
      </c>
    </row>
    <row r="914" spans="1:11" x14ac:dyDescent="0.3">
      <c r="A914" t="s">
        <v>1091</v>
      </c>
      <c r="B914" t="s">
        <v>550</v>
      </c>
      <c r="C914">
        <v>69</v>
      </c>
      <c r="D914" t="s">
        <v>12</v>
      </c>
      <c r="E914" t="s">
        <v>39</v>
      </c>
      <c r="F914" t="s">
        <v>27</v>
      </c>
      <c r="G914" s="5">
        <v>45714</v>
      </c>
      <c r="H914" t="str">
        <f t="shared" si="28"/>
        <v>February</v>
      </c>
      <c r="I914" s="5">
        <v>45715</v>
      </c>
      <c r="J914" s="7">
        <f t="shared" si="29"/>
        <v>1</v>
      </c>
      <c r="K914" s="6">
        <v>11656</v>
      </c>
    </row>
    <row r="915" spans="1:11" x14ac:dyDescent="0.3">
      <c r="A915" t="s">
        <v>1092</v>
      </c>
      <c r="B915" t="s">
        <v>419</v>
      </c>
      <c r="C915">
        <v>19</v>
      </c>
      <c r="D915" t="s">
        <v>12</v>
      </c>
      <c r="E915" t="s">
        <v>39</v>
      </c>
      <c r="F915" t="s">
        <v>19</v>
      </c>
      <c r="G915" s="5">
        <v>45880</v>
      </c>
      <c r="H915" t="str">
        <f t="shared" si="28"/>
        <v>August</v>
      </c>
      <c r="I915" s="5">
        <v>45895</v>
      </c>
      <c r="J915" s="7">
        <f t="shared" si="29"/>
        <v>15</v>
      </c>
      <c r="K915" s="6">
        <v>176925</v>
      </c>
    </row>
    <row r="916" spans="1:11" x14ac:dyDescent="0.3">
      <c r="A916" t="s">
        <v>1093</v>
      </c>
      <c r="B916" t="s">
        <v>156</v>
      </c>
      <c r="C916">
        <v>15</v>
      </c>
      <c r="D916" t="s">
        <v>17</v>
      </c>
      <c r="E916" t="s">
        <v>45</v>
      </c>
      <c r="F916" t="s">
        <v>19</v>
      </c>
      <c r="G916" s="5">
        <v>45757</v>
      </c>
      <c r="H916" t="str">
        <f t="shared" si="28"/>
        <v>April</v>
      </c>
      <c r="I916" s="5">
        <v>45767</v>
      </c>
      <c r="J916" s="7">
        <f t="shared" si="29"/>
        <v>10</v>
      </c>
      <c r="K916" s="6">
        <v>62500</v>
      </c>
    </row>
    <row r="917" spans="1:11" x14ac:dyDescent="0.3">
      <c r="A917" t="s">
        <v>1094</v>
      </c>
      <c r="B917" t="s">
        <v>72</v>
      </c>
      <c r="C917">
        <v>41</v>
      </c>
      <c r="D917" t="s">
        <v>12</v>
      </c>
      <c r="E917" t="s">
        <v>22</v>
      </c>
      <c r="F917" t="s">
        <v>34</v>
      </c>
      <c r="G917" s="5">
        <v>45979</v>
      </c>
      <c r="H917" t="str">
        <f t="shared" si="28"/>
        <v>November</v>
      </c>
      <c r="I917" s="5">
        <v>45991</v>
      </c>
      <c r="J917" s="7">
        <f t="shared" si="29"/>
        <v>12</v>
      </c>
      <c r="K917" s="6">
        <v>102372</v>
      </c>
    </row>
    <row r="918" spans="1:11" x14ac:dyDescent="0.3">
      <c r="A918" t="s">
        <v>1095</v>
      </c>
      <c r="B918" t="s">
        <v>759</v>
      </c>
      <c r="C918">
        <v>25</v>
      </c>
      <c r="D918" t="s">
        <v>12</v>
      </c>
      <c r="E918" t="s">
        <v>45</v>
      </c>
      <c r="F918" t="s">
        <v>27</v>
      </c>
      <c r="G918" s="5">
        <v>45844</v>
      </c>
      <c r="H918" t="str">
        <f t="shared" si="28"/>
        <v>July</v>
      </c>
      <c r="I918" s="5">
        <v>45855</v>
      </c>
      <c r="J918" s="7">
        <f t="shared" si="29"/>
        <v>11</v>
      </c>
      <c r="K918" s="6">
        <v>59752</v>
      </c>
    </row>
    <row r="919" spans="1:11" x14ac:dyDescent="0.3">
      <c r="A919" t="s">
        <v>1096</v>
      </c>
      <c r="B919" t="s">
        <v>187</v>
      </c>
      <c r="C919">
        <v>71</v>
      </c>
      <c r="D919" t="s">
        <v>12</v>
      </c>
      <c r="E919" t="s">
        <v>39</v>
      </c>
      <c r="F919" t="s">
        <v>34</v>
      </c>
      <c r="G919" s="5">
        <v>45927</v>
      </c>
      <c r="H919" t="str">
        <f t="shared" si="28"/>
        <v>September</v>
      </c>
      <c r="I919" s="5">
        <v>45932</v>
      </c>
      <c r="J919" s="7">
        <f t="shared" si="29"/>
        <v>5</v>
      </c>
      <c r="K919" s="6">
        <v>37040</v>
      </c>
    </row>
    <row r="920" spans="1:11" x14ac:dyDescent="0.3">
      <c r="A920" t="s">
        <v>1097</v>
      </c>
      <c r="B920" t="s">
        <v>247</v>
      </c>
      <c r="C920">
        <v>9</v>
      </c>
      <c r="D920" t="s">
        <v>12</v>
      </c>
      <c r="E920" t="s">
        <v>18</v>
      </c>
      <c r="F920" t="s">
        <v>59</v>
      </c>
      <c r="G920" s="5">
        <v>45796</v>
      </c>
      <c r="H920" t="str">
        <f t="shared" si="28"/>
        <v>May</v>
      </c>
      <c r="I920" s="5">
        <v>45811</v>
      </c>
      <c r="J920" s="7">
        <f t="shared" si="29"/>
        <v>15</v>
      </c>
      <c r="K920" s="6">
        <v>171540</v>
      </c>
    </row>
    <row r="921" spans="1:11" x14ac:dyDescent="0.3">
      <c r="A921" t="s">
        <v>1098</v>
      </c>
      <c r="B921" t="s">
        <v>377</v>
      </c>
      <c r="C921">
        <v>26</v>
      </c>
      <c r="D921" t="s">
        <v>12</v>
      </c>
      <c r="E921" t="s">
        <v>45</v>
      </c>
      <c r="F921" t="s">
        <v>19</v>
      </c>
      <c r="G921" s="5">
        <v>45931</v>
      </c>
      <c r="H921" t="str">
        <f t="shared" si="28"/>
        <v>October</v>
      </c>
      <c r="I921" s="5">
        <v>45934</v>
      </c>
      <c r="J921" s="7">
        <f t="shared" si="29"/>
        <v>3</v>
      </c>
      <c r="K921" s="6">
        <v>28506</v>
      </c>
    </row>
    <row r="922" spans="1:11" x14ac:dyDescent="0.3">
      <c r="A922" t="s">
        <v>1099</v>
      </c>
      <c r="B922" t="s">
        <v>217</v>
      </c>
      <c r="C922">
        <v>59</v>
      </c>
      <c r="D922" t="s">
        <v>17</v>
      </c>
      <c r="E922" t="s">
        <v>102</v>
      </c>
      <c r="F922" t="s">
        <v>14</v>
      </c>
      <c r="G922" s="5">
        <v>45661</v>
      </c>
      <c r="H922" t="str">
        <f t="shared" si="28"/>
        <v>January</v>
      </c>
      <c r="I922" s="5">
        <v>45667</v>
      </c>
      <c r="J922" s="7">
        <f t="shared" si="29"/>
        <v>6</v>
      </c>
      <c r="K922" s="6">
        <v>30552</v>
      </c>
    </row>
    <row r="923" spans="1:11" x14ac:dyDescent="0.3">
      <c r="A923" t="s">
        <v>1100</v>
      </c>
      <c r="B923" t="s">
        <v>220</v>
      </c>
      <c r="C923">
        <v>82</v>
      </c>
      <c r="D923" t="s">
        <v>12</v>
      </c>
      <c r="E923" t="s">
        <v>48</v>
      </c>
      <c r="F923" t="s">
        <v>42</v>
      </c>
      <c r="G923" s="5">
        <v>45717</v>
      </c>
      <c r="H923" t="str">
        <f t="shared" si="28"/>
        <v>March</v>
      </c>
      <c r="I923" s="5">
        <v>45726</v>
      </c>
      <c r="J923" s="7">
        <f t="shared" si="29"/>
        <v>9</v>
      </c>
      <c r="K923" s="6">
        <v>84447</v>
      </c>
    </row>
    <row r="924" spans="1:11" x14ac:dyDescent="0.3">
      <c r="A924" t="s">
        <v>1101</v>
      </c>
      <c r="B924" t="s">
        <v>550</v>
      </c>
      <c r="C924">
        <v>30</v>
      </c>
      <c r="D924" t="s">
        <v>12</v>
      </c>
      <c r="E924" t="s">
        <v>26</v>
      </c>
      <c r="F924" t="s">
        <v>14</v>
      </c>
      <c r="G924" s="5">
        <v>45669</v>
      </c>
      <c r="H924" t="str">
        <f t="shared" si="28"/>
        <v>January</v>
      </c>
      <c r="I924" s="5">
        <v>45672</v>
      </c>
      <c r="J924" s="7">
        <f t="shared" si="29"/>
        <v>3</v>
      </c>
      <c r="K924" s="6">
        <v>31950</v>
      </c>
    </row>
    <row r="925" spans="1:11" x14ac:dyDescent="0.3">
      <c r="A925" t="s">
        <v>1102</v>
      </c>
      <c r="B925" t="s">
        <v>445</v>
      </c>
      <c r="C925">
        <v>57</v>
      </c>
      <c r="D925" t="s">
        <v>17</v>
      </c>
      <c r="E925" t="s">
        <v>48</v>
      </c>
      <c r="F925" t="s">
        <v>27</v>
      </c>
      <c r="G925" s="5">
        <v>45929</v>
      </c>
      <c r="H925" t="str">
        <f t="shared" si="28"/>
        <v>September</v>
      </c>
      <c r="I925" s="5">
        <v>45933</v>
      </c>
      <c r="J925" s="7">
        <f t="shared" si="29"/>
        <v>4</v>
      </c>
      <c r="K925" s="6">
        <v>37532</v>
      </c>
    </row>
    <row r="926" spans="1:11" x14ac:dyDescent="0.3">
      <c r="A926" t="s">
        <v>1103</v>
      </c>
      <c r="B926" t="s">
        <v>249</v>
      </c>
      <c r="C926">
        <v>64</v>
      </c>
      <c r="D926" t="s">
        <v>12</v>
      </c>
      <c r="E926" t="s">
        <v>33</v>
      </c>
      <c r="F926" t="s">
        <v>27</v>
      </c>
      <c r="G926" s="5">
        <v>45800</v>
      </c>
      <c r="H926" t="str">
        <f t="shared" si="28"/>
        <v>May</v>
      </c>
      <c r="I926" s="5">
        <v>45809</v>
      </c>
      <c r="J926" s="7">
        <f t="shared" si="29"/>
        <v>9</v>
      </c>
      <c r="K926" s="6">
        <v>47538</v>
      </c>
    </row>
    <row r="927" spans="1:11" x14ac:dyDescent="0.3">
      <c r="A927" t="s">
        <v>1104</v>
      </c>
      <c r="B927" t="s">
        <v>201</v>
      </c>
      <c r="C927">
        <v>11</v>
      </c>
      <c r="D927" t="s">
        <v>12</v>
      </c>
      <c r="E927" t="s">
        <v>39</v>
      </c>
      <c r="F927" t="s">
        <v>19</v>
      </c>
      <c r="G927" s="5">
        <v>45786</v>
      </c>
      <c r="H927" t="str">
        <f t="shared" si="28"/>
        <v>May</v>
      </c>
      <c r="I927" s="5">
        <v>45789</v>
      </c>
      <c r="J927" s="7">
        <f t="shared" si="29"/>
        <v>3</v>
      </c>
      <c r="K927" s="6">
        <v>29952</v>
      </c>
    </row>
    <row r="928" spans="1:11" x14ac:dyDescent="0.3">
      <c r="A928" t="s">
        <v>1105</v>
      </c>
      <c r="B928" t="s">
        <v>168</v>
      </c>
      <c r="C928">
        <v>7</v>
      </c>
      <c r="D928" t="s">
        <v>12</v>
      </c>
      <c r="E928" t="s">
        <v>45</v>
      </c>
      <c r="F928" t="s">
        <v>19</v>
      </c>
      <c r="G928" s="5">
        <v>45832</v>
      </c>
      <c r="H928" t="str">
        <f t="shared" si="28"/>
        <v>June</v>
      </c>
      <c r="I928" s="5">
        <v>45841</v>
      </c>
      <c r="J928" s="7">
        <f t="shared" si="29"/>
        <v>9</v>
      </c>
      <c r="K928" s="6">
        <v>69057</v>
      </c>
    </row>
    <row r="929" spans="1:11" x14ac:dyDescent="0.3">
      <c r="A929" t="s">
        <v>1106</v>
      </c>
      <c r="B929" t="s">
        <v>377</v>
      </c>
      <c r="C929">
        <v>65</v>
      </c>
      <c r="D929" t="s">
        <v>17</v>
      </c>
      <c r="E929" t="s">
        <v>102</v>
      </c>
      <c r="F929" t="s">
        <v>27</v>
      </c>
      <c r="G929" s="5">
        <v>45865</v>
      </c>
      <c r="H929" t="str">
        <f t="shared" si="28"/>
        <v>July</v>
      </c>
      <c r="I929" s="5">
        <v>45872</v>
      </c>
      <c r="J929" s="7">
        <f t="shared" si="29"/>
        <v>7</v>
      </c>
      <c r="K929" s="6">
        <v>38780</v>
      </c>
    </row>
    <row r="930" spans="1:11" x14ac:dyDescent="0.3">
      <c r="A930" t="s">
        <v>1107</v>
      </c>
      <c r="B930" t="s">
        <v>89</v>
      </c>
      <c r="C930">
        <v>34</v>
      </c>
      <c r="D930" t="s">
        <v>12</v>
      </c>
      <c r="E930" t="s">
        <v>45</v>
      </c>
      <c r="F930" t="s">
        <v>34</v>
      </c>
      <c r="G930" s="5">
        <v>45879</v>
      </c>
      <c r="H930" t="str">
        <f t="shared" si="28"/>
        <v>August</v>
      </c>
      <c r="I930" s="5">
        <v>45893</v>
      </c>
      <c r="J930" s="7">
        <f t="shared" si="29"/>
        <v>14</v>
      </c>
      <c r="K930" s="6">
        <v>91266</v>
      </c>
    </row>
    <row r="931" spans="1:11" x14ac:dyDescent="0.3">
      <c r="A931" t="s">
        <v>1108</v>
      </c>
      <c r="B931" t="s">
        <v>82</v>
      </c>
      <c r="C931">
        <v>73</v>
      </c>
      <c r="D931" t="s">
        <v>12</v>
      </c>
      <c r="E931" t="s">
        <v>18</v>
      </c>
      <c r="F931" t="s">
        <v>34</v>
      </c>
      <c r="G931" s="5">
        <v>46017</v>
      </c>
      <c r="H931" t="str">
        <f t="shared" si="28"/>
        <v>December</v>
      </c>
      <c r="I931" s="5">
        <v>46031</v>
      </c>
      <c r="J931" s="7">
        <f t="shared" si="29"/>
        <v>14</v>
      </c>
      <c r="K931" s="6">
        <v>103614</v>
      </c>
    </row>
    <row r="932" spans="1:11" x14ac:dyDescent="0.3">
      <c r="A932" t="s">
        <v>1109</v>
      </c>
      <c r="B932" t="s">
        <v>467</v>
      </c>
      <c r="C932">
        <v>12</v>
      </c>
      <c r="D932" t="s">
        <v>17</v>
      </c>
      <c r="E932" t="s">
        <v>45</v>
      </c>
      <c r="F932" t="s">
        <v>27</v>
      </c>
      <c r="G932" s="5">
        <v>45775</v>
      </c>
      <c r="H932" t="str">
        <f t="shared" si="28"/>
        <v>April</v>
      </c>
      <c r="I932" s="5">
        <v>45783</v>
      </c>
      <c r="J932" s="7">
        <f t="shared" si="29"/>
        <v>8</v>
      </c>
      <c r="K932" s="6">
        <v>93488</v>
      </c>
    </row>
    <row r="933" spans="1:11" x14ac:dyDescent="0.3">
      <c r="A933" t="s">
        <v>1110</v>
      </c>
      <c r="B933" t="s">
        <v>178</v>
      </c>
      <c r="C933">
        <v>73</v>
      </c>
      <c r="D933" t="s">
        <v>12</v>
      </c>
      <c r="E933" t="s">
        <v>48</v>
      </c>
      <c r="F933" t="s">
        <v>23</v>
      </c>
      <c r="G933" s="5">
        <v>45786</v>
      </c>
      <c r="H933" t="str">
        <f t="shared" si="28"/>
        <v>May</v>
      </c>
      <c r="I933" s="5">
        <v>45801</v>
      </c>
      <c r="J933" s="7">
        <f t="shared" si="29"/>
        <v>15</v>
      </c>
      <c r="K933" s="6">
        <v>124650</v>
      </c>
    </row>
    <row r="934" spans="1:11" x14ac:dyDescent="0.3">
      <c r="A934" t="s">
        <v>1111</v>
      </c>
      <c r="B934" t="s">
        <v>690</v>
      </c>
      <c r="C934">
        <v>58</v>
      </c>
      <c r="D934" t="s">
        <v>12</v>
      </c>
      <c r="E934" t="s">
        <v>48</v>
      </c>
      <c r="F934" t="s">
        <v>19</v>
      </c>
      <c r="G934" s="5">
        <v>45890</v>
      </c>
      <c r="H934" t="str">
        <f t="shared" si="28"/>
        <v>August</v>
      </c>
      <c r="I934" s="5">
        <v>45899</v>
      </c>
      <c r="J934" s="7">
        <f t="shared" si="29"/>
        <v>9</v>
      </c>
      <c r="K934" s="6">
        <v>41310</v>
      </c>
    </row>
    <row r="935" spans="1:11" x14ac:dyDescent="0.3">
      <c r="A935" t="s">
        <v>1112</v>
      </c>
      <c r="B935" t="s">
        <v>251</v>
      </c>
      <c r="C935">
        <v>12</v>
      </c>
      <c r="D935" t="s">
        <v>12</v>
      </c>
      <c r="E935" t="s">
        <v>45</v>
      </c>
      <c r="F935" t="s">
        <v>62</v>
      </c>
      <c r="G935" s="5">
        <v>45721</v>
      </c>
      <c r="H935" t="str">
        <f t="shared" si="28"/>
        <v>March</v>
      </c>
      <c r="I935" s="5">
        <v>45735</v>
      </c>
      <c r="J935" s="7">
        <f t="shared" si="29"/>
        <v>14</v>
      </c>
      <c r="K935" s="6">
        <v>89208</v>
      </c>
    </row>
    <row r="936" spans="1:11" x14ac:dyDescent="0.3">
      <c r="A936" t="s">
        <v>1113</v>
      </c>
      <c r="B936" t="s">
        <v>89</v>
      </c>
      <c r="C936">
        <v>90</v>
      </c>
      <c r="D936" t="s">
        <v>17</v>
      </c>
      <c r="E936" t="s">
        <v>39</v>
      </c>
      <c r="F936" t="s">
        <v>42</v>
      </c>
      <c r="G936" s="5">
        <v>45984</v>
      </c>
      <c r="H936" t="str">
        <f t="shared" si="28"/>
        <v>November</v>
      </c>
      <c r="I936" s="5">
        <v>45992</v>
      </c>
      <c r="J936" s="7">
        <f t="shared" si="29"/>
        <v>8</v>
      </c>
      <c r="K936" s="6">
        <v>38240</v>
      </c>
    </row>
    <row r="937" spans="1:11" x14ac:dyDescent="0.3">
      <c r="A937" t="s">
        <v>1114</v>
      </c>
      <c r="B937" t="s">
        <v>251</v>
      </c>
      <c r="C937">
        <v>29</v>
      </c>
      <c r="D937" t="s">
        <v>17</v>
      </c>
      <c r="E937" t="s">
        <v>26</v>
      </c>
      <c r="F937" t="s">
        <v>34</v>
      </c>
      <c r="G937" s="5">
        <v>45947</v>
      </c>
      <c r="H937" t="str">
        <f t="shared" si="28"/>
        <v>October</v>
      </c>
      <c r="I937" s="5">
        <v>45962</v>
      </c>
      <c r="J937" s="7">
        <f t="shared" si="29"/>
        <v>15</v>
      </c>
      <c r="K937" s="6">
        <v>148770</v>
      </c>
    </row>
    <row r="938" spans="1:11" x14ac:dyDescent="0.3">
      <c r="A938" t="s">
        <v>1115</v>
      </c>
      <c r="B938" t="s">
        <v>345</v>
      </c>
      <c r="C938">
        <v>75</v>
      </c>
      <c r="D938" t="s">
        <v>17</v>
      </c>
      <c r="E938" t="s">
        <v>45</v>
      </c>
      <c r="F938" t="s">
        <v>62</v>
      </c>
      <c r="G938" s="5">
        <v>46006</v>
      </c>
      <c r="H938" t="str">
        <f t="shared" si="28"/>
        <v>December</v>
      </c>
      <c r="I938" s="5">
        <v>46010</v>
      </c>
      <c r="J938" s="7">
        <f t="shared" si="29"/>
        <v>4</v>
      </c>
      <c r="K938" s="6">
        <v>16484</v>
      </c>
    </row>
    <row r="939" spans="1:11" x14ac:dyDescent="0.3">
      <c r="A939" t="s">
        <v>1116</v>
      </c>
      <c r="B939" t="s">
        <v>375</v>
      </c>
      <c r="C939">
        <v>64</v>
      </c>
      <c r="D939" t="s">
        <v>12</v>
      </c>
      <c r="E939" t="s">
        <v>30</v>
      </c>
      <c r="F939" t="s">
        <v>42</v>
      </c>
      <c r="G939" s="5">
        <v>45900</v>
      </c>
      <c r="H939" t="str">
        <f t="shared" si="28"/>
        <v>August</v>
      </c>
      <c r="I939" s="5">
        <v>45912</v>
      </c>
      <c r="J939" s="7">
        <f t="shared" si="29"/>
        <v>12</v>
      </c>
      <c r="K939" s="6">
        <v>102180</v>
      </c>
    </row>
    <row r="940" spans="1:11" x14ac:dyDescent="0.3">
      <c r="A940" t="s">
        <v>1117</v>
      </c>
      <c r="B940" t="s">
        <v>273</v>
      </c>
      <c r="C940">
        <v>80</v>
      </c>
      <c r="D940" t="s">
        <v>12</v>
      </c>
      <c r="E940" t="s">
        <v>45</v>
      </c>
      <c r="F940" t="s">
        <v>62</v>
      </c>
      <c r="G940" s="5">
        <v>45790</v>
      </c>
      <c r="H940" t="str">
        <f t="shared" si="28"/>
        <v>May</v>
      </c>
      <c r="I940" s="5">
        <v>45794</v>
      </c>
      <c r="J940" s="7">
        <f t="shared" si="29"/>
        <v>4</v>
      </c>
      <c r="K940" s="6">
        <v>42928</v>
      </c>
    </row>
    <row r="941" spans="1:11" x14ac:dyDescent="0.3">
      <c r="A941" t="s">
        <v>1118</v>
      </c>
      <c r="B941" t="s">
        <v>377</v>
      </c>
      <c r="C941">
        <v>3</v>
      </c>
      <c r="D941" t="s">
        <v>17</v>
      </c>
      <c r="E941" t="s">
        <v>39</v>
      </c>
      <c r="F941" t="s">
        <v>59</v>
      </c>
      <c r="G941" s="5">
        <v>45895</v>
      </c>
      <c r="H941" t="str">
        <f t="shared" si="28"/>
        <v>August</v>
      </c>
      <c r="I941" s="5">
        <v>45909</v>
      </c>
      <c r="J941" s="7">
        <f t="shared" si="29"/>
        <v>14</v>
      </c>
      <c r="K941" s="6">
        <v>117572</v>
      </c>
    </row>
    <row r="942" spans="1:11" x14ac:dyDescent="0.3">
      <c r="A942" t="s">
        <v>1119</v>
      </c>
      <c r="B942" t="s">
        <v>245</v>
      </c>
      <c r="C942">
        <v>9</v>
      </c>
      <c r="D942" t="s">
        <v>12</v>
      </c>
      <c r="E942" t="s">
        <v>48</v>
      </c>
      <c r="F942" t="s">
        <v>23</v>
      </c>
      <c r="G942" s="5">
        <v>45747</v>
      </c>
      <c r="H942" t="str">
        <f t="shared" si="28"/>
        <v>March</v>
      </c>
      <c r="I942" s="5">
        <v>45752</v>
      </c>
      <c r="J942" s="7">
        <f t="shared" si="29"/>
        <v>5</v>
      </c>
      <c r="K942" s="6">
        <v>51830</v>
      </c>
    </row>
    <row r="943" spans="1:11" x14ac:dyDescent="0.3">
      <c r="A943" t="s">
        <v>1120</v>
      </c>
      <c r="B943" t="s">
        <v>93</v>
      </c>
      <c r="C943">
        <v>35</v>
      </c>
      <c r="D943" t="s">
        <v>12</v>
      </c>
      <c r="E943" t="s">
        <v>39</v>
      </c>
      <c r="F943" t="s">
        <v>23</v>
      </c>
      <c r="G943" s="5">
        <v>45700</v>
      </c>
      <c r="H943" t="str">
        <f t="shared" si="28"/>
        <v>February</v>
      </c>
      <c r="I943" s="5">
        <v>45712</v>
      </c>
      <c r="J943" s="7">
        <f t="shared" si="29"/>
        <v>12</v>
      </c>
      <c r="K943" s="6">
        <v>87864</v>
      </c>
    </row>
    <row r="944" spans="1:11" x14ac:dyDescent="0.3">
      <c r="A944" t="s">
        <v>1121</v>
      </c>
      <c r="B944" t="s">
        <v>207</v>
      </c>
      <c r="C944">
        <v>32</v>
      </c>
      <c r="D944" t="s">
        <v>12</v>
      </c>
      <c r="E944" t="s">
        <v>48</v>
      </c>
      <c r="F944" t="s">
        <v>62</v>
      </c>
      <c r="G944" s="5">
        <v>45800</v>
      </c>
      <c r="H944" t="str">
        <f t="shared" si="28"/>
        <v>May</v>
      </c>
      <c r="I944" s="5">
        <v>45808</v>
      </c>
      <c r="J944" s="7">
        <f t="shared" si="29"/>
        <v>8</v>
      </c>
      <c r="K944" s="6">
        <v>48384</v>
      </c>
    </row>
    <row r="945" spans="1:11" x14ac:dyDescent="0.3">
      <c r="A945" t="s">
        <v>1122</v>
      </c>
      <c r="B945" t="s">
        <v>72</v>
      </c>
      <c r="C945">
        <v>77</v>
      </c>
      <c r="D945" t="s">
        <v>12</v>
      </c>
      <c r="E945" t="s">
        <v>22</v>
      </c>
      <c r="F945" t="s">
        <v>59</v>
      </c>
      <c r="G945" s="5">
        <v>45662</v>
      </c>
      <c r="H945" t="str">
        <f t="shared" si="28"/>
        <v>January</v>
      </c>
      <c r="I945" s="5">
        <v>45666</v>
      </c>
      <c r="J945" s="7">
        <f t="shared" si="29"/>
        <v>4</v>
      </c>
      <c r="K945" s="6">
        <v>23640</v>
      </c>
    </row>
    <row r="946" spans="1:11" x14ac:dyDescent="0.3">
      <c r="A946" t="s">
        <v>1123</v>
      </c>
      <c r="B946" t="s">
        <v>168</v>
      </c>
      <c r="C946">
        <v>53</v>
      </c>
      <c r="D946" t="s">
        <v>12</v>
      </c>
      <c r="E946" t="s">
        <v>39</v>
      </c>
      <c r="F946" t="s">
        <v>42</v>
      </c>
      <c r="G946" s="5">
        <v>45832</v>
      </c>
      <c r="H946" t="str">
        <f t="shared" si="28"/>
        <v>June</v>
      </c>
      <c r="I946" s="5">
        <v>45834</v>
      </c>
      <c r="J946" s="7">
        <f t="shared" si="29"/>
        <v>2</v>
      </c>
      <c r="K946" s="6">
        <v>16560</v>
      </c>
    </row>
    <row r="947" spans="1:11" x14ac:dyDescent="0.3">
      <c r="A947" t="s">
        <v>1124</v>
      </c>
      <c r="B947" t="s">
        <v>554</v>
      </c>
      <c r="C947">
        <v>82</v>
      </c>
      <c r="D947" t="s">
        <v>12</v>
      </c>
      <c r="E947" t="s">
        <v>102</v>
      </c>
      <c r="F947" t="s">
        <v>27</v>
      </c>
      <c r="G947" s="5">
        <v>45943</v>
      </c>
      <c r="H947" t="str">
        <f t="shared" si="28"/>
        <v>October</v>
      </c>
      <c r="I947" s="5">
        <v>45956</v>
      </c>
      <c r="J947" s="7">
        <f t="shared" si="29"/>
        <v>13</v>
      </c>
      <c r="K947" s="6">
        <v>80483</v>
      </c>
    </row>
    <row r="948" spans="1:11" x14ac:dyDescent="0.3">
      <c r="A948" t="s">
        <v>1125</v>
      </c>
      <c r="B948" t="s">
        <v>176</v>
      </c>
      <c r="C948">
        <v>38</v>
      </c>
      <c r="D948" t="s">
        <v>17</v>
      </c>
      <c r="E948" t="s">
        <v>26</v>
      </c>
      <c r="F948" t="s">
        <v>59</v>
      </c>
      <c r="G948" s="5">
        <v>45672</v>
      </c>
      <c r="H948" t="str">
        <f t="shared" si="28"/>
        <v>January</v>
      </c>
      <c r="I948" s="5">
        <v>45679</v>
      </c>
      <c r="J948" s="7">
        <f t="shared" si="29"/>
        <v>7</v>
      </c>
      <c r="K948" s="6">
        <v>35819</v>
      </c>
    </row>
    <row r="949" spans="1:11" x14ac:dyDescent="0.3">
      <c r="A949" t="s">
        <v>1126</v>
      </c>
      <c r="B949" t="s">
        <v>178</v>
      </c>
      <c r="C949">
        <v>63</v>
      </c>
      <c r="D949" t="s">
        <v>17</v>
      </c>
      <c r="E949" t="s">
        <v>22</v>
      </c>
      <c r="F949" t="s">
        <v>34</v>
      </c>
      <c r="G949" s="5">
        <v>45989</v>
      </c>
      <c r="H949" t="str">
        <f t="shared" si="28"/>
        <v>November</v>
      </c>
      <c r="I949" s="5">
        <v>46004</v>
      </c>
      <c r="J949" s="7">
        <f t="shared" si="29"/>
        <v>15</v>
      </c>
      <c r="K949" s="6">
        <v>82710</v>
      </c>
    </row>
    <row r="950" spans="1:11" x14ac:dyDescent="0.3">
      <c r="A950" t="s">
        <v>1127</v>
      </c>
      <c r="B950" t="s">
        <v>199</v>
      </c>
      <c r="C950">
        <v>52</v>
      </c>
      <c r="D950" t="s">
        <v>17</v>
      </c>
      <c r="E950" t="s">
        <v>33</v>
      </c>
      <c r="F950" t="s">
        <v>27</v>
      </c>
      <c r="G950" s="5">
        <v>46003</v>
      </c>
      <c r="H950" t="str">
        <f t="shared" si="28"/>
        <v>December</v>
      </c>
      <c r="I950" s="5">
        <v>46012</v>
      </c>
      <c r="J950" s="7">
        <f t="shared" si="29"/>
        <v>9</v>
      </c>
      <c r="K950" s="6">
        <v>52731</v>
      </c>
    </row>
    <row r="951" spans="1:11" x14ac:dyDescent="0.3">
      <c r="A951" t="s">
        <v>1128</v>
      </c>
      <c r="B951" t="s">
        <v>66</v>
      </c>
      <c r="C951">
        <v>51</v>
      </c>
      <c r="D951" t="s">
        <v>12</v>
      </c>
      <c r="E951" t="s">
        <v>33</v>
      </c>
      <c r="F951" t="s">
        <v>62</v>
      </c>
      <c r="G951" s="5">
        <v>45915</v>
      </c>
      <c r="H951" t="str">
        <f t="shared" si="28"/>
        <v>September</v>
      </c>
      <c r="I951" s="5">
        <v>45918</v>
      </c>
      <c r="J951" s="7">
        <f t="shared" si="29"/>
        <v>3</v>
      </c>
      <c r="K951" s="6">
        <v>22803</v>
      </c>
    </row>
    <row r="952" spans="1:11" x14ac:dyDescent="0.3">
      <c r="A952" t="s">
        <v>1129</v>
      </c>
      <c r="B952" t="s">
        <v>36</v>
      </c>
      <c r="C952">
        <v>13</v>
      </c>
      <c r="D952" t="s">
        <v>17</v>
      </c>
      <c r="E952" t="s">
        <v>45</v>
      </c>
      <c r="F952" t="s">
        <v>59</v>
      </c>
      <c r="G952" s="5">
        <v>45833</v>
      </c>
      <c r="H952" t="str">
        <f t="shared" si="28"/>
        <v>June</v>
      </c>
      <c r="I952" s="5">
        <v>45834</v>
      </c>
      <c r="J952" s="7">
        <f t="shared" si="29"/>
        <v>1</v>
      </c>
      <c r="K952" s="6">
        <v>5886</v>
      </c>
    </row>
    <row r="953" spans="1:11" x14ac:dyDescent="0.3">
      <c r="A953" t="s">
        <v>1130</v>
      </c>
      <c r="B953" t="s">
        <v>550</v>
      </c>
      <c r="C953">
        <v>17</v>
      </c>
      <c r="D953" t="s">
        <v>12</v>
      </c>
      <c r="E953" t="s">
        <v>39</v>
      </c>
      <c r="F953" t="s">
        <v>59</v>
      </c>
      <c r="G953" s="5">
        <v>46017</v>
      </c>
      <c r="H953" t="str">
        <f t="shared" si="28"/>
        <v>December</v>
      </c>
      <c r="I953" s="5">
        <v>46025</v>
      </c>
      <c r="J953" s="7">
        <f t="shared" si="29"/>
        <v>8</v>
      </c>
      <c r="K953" s="6">
        <v>93184</v>
      </c>
    </row>
    <row r="954" spans="1:11" x14ac:dyDescent="0.3">
      <c r="A954" t="s">
        <v>1131</v>
      </c>
      <c r="B954" t="s">
        <v>308</v>
      </c>
      <c r="C954">
        <v>4</v>
      </c>
      <c r="D954" t="s">
        <v>12</v>
      </c>
      <c r="E954" t="s">
        <v>30</v>
      </c>
      <c r="F954" t="s">
        <v>59</v>
      </c>
      <c r="G954" s="5">
        <v>45702</v>
      </c>
      <c r="H954" t="str">
        <f t="shared" si="28"/>
        <v>February</v>
      </c>
      <c r="I954" s="5">
        <v>45714</v>
      </c>
      <c r="J954" s="7">
        <f t="shared" si="29"/>
        <v>12</v>
      </c>
      <c r="K954" s="6">
        <v>69156</v>
      </c>
    </row>
    <row r="955" spans="1:11" x14ac:dyDescent="0.3">
      <c r="A955" t="s">
        <v>1132</v>
      </c>
      <c r="B955" t="s">
        <v>247</v>
      </c>
      <c r="C955">
        <v>59</v>
      </c>
      <c r="D955" t="s">
        <v>17</v>
      </c>
      <c r="E955" t="s">
        <v>45</v>
      </c>
      <c r="F955" t="s">
        <v>14</v>
      </c>
      <c r="G955" s="5">
        <v>45668</v>
      </c>
      <c r="H955" t="str">
        <f t="shared" si="28"/>
        <v>January</v>
      </c>
      <c r="I955" s="5">
        <v>45676</v>
      </c>
      <c r="J955" s="7">
        <f t="shared" si="29"/>
        <v>8</v>
      </c>
      <c r="K955" s="6">
        <v>88384</v>
      </c>
    </row>
    <row r="956" spans="1:11" x14ac:dyDescent="0.3">
      <c r="A956" t="s">
        <v>1133</v>
      </c>
      <c r="B956" t="s">
        <v>397</v>
      </c>
      <c r="C956">
        <v>39</v>
      </c>
      <c r="D956" t="s">
        <v>17</v>
      </c>
      <c r="E956" t="s">
        <v>18</v>
      </c>
      <c r="F956" t="s">
        <v>62</v>
      </c>
      <c r="G956" s="5">
        <v>45808</v>
      </c>
      <c r="H956" t="str">
        <f t="shared" si="28"/>
        <v>May</v>
      </c>
      <c r="I956" s="5">
        <v>45822</v>
      </c>
      <c r="J956" s="7">
        <f t="shared" si="29"/>
        <v>14</v>
      </c>
      <c r="K956" s="6">
        <v>144214</v>
      </c>
    </row>
    <row r="957" spans="1:11" x14ac:dyDescent="0.3">
      <c r="A957" t="s">
        <v>1134</v>
      </c>
      <c r="B957" t="s">
        <v>116</v>
      </c>
      <c r="C957">
        <v>19</v>
      </c>
      <c r="D957" t="s">
        <v>12</v>
      </c>
      <c r="E957" t="s">
        <v>48</v>
      </c>
      <c r="F957" t="s">
        <v>34</v>
      </c>
      <c r="G957" s="5">
        <v>45676</v>
      </c>
      <c r="H957" t="str">
        <f t="shared" si="28"/>
        <v>January</v>
      </c>
      <c r="I957" s="5">
        <v>45678</v>
      </c>
      <c r="J957" s="7">
        <f t="shared" si="29"/>
        <v>2</v>
      </c>
      <c r="K957" s="6">
        <v>19198</v>
      </c>
    </row>
    <row r="958" spans="1:11" x14ac:dyDescent="0.3">
      <c r="A958" t="s">
        <v>1135</v>
      </c>
      <c r="B958" t="s">
        <v>481</v>
      </c>
      <c r="C958">
        <v>72</v>
      </c>
      <c r="D958" t="s">
        <v>17</v>
      </c>
      <c r="E958" t="s">
        <v>26</v>
      </c>
      <c r="F958" t="s">
        <v>34</v>
      </c>
      <c r="G958" s="5">
        <v>45746</v>
      </c>
      <c r="H958" t="str">
        <f t="shared" si="28"/>
        <v>March</v>
      </c>
      <c r="I958" s="5">
        <v>45757</v>
      </c>
      <c r="J958" s="7">
        <f t="shared" si="29"/>
        <v>11</v>
      </c>
      <c r="K958" s="6">
        <v>90717</v>
      </c>
    </row>
    <row r="959" spans="1:11" x14ac:dyDescent="0.3">
      <c r="A959" t="s">
        <v>1136</v>
      </c>
      <c r="B959" t="s">
        <v>151</v>
      </c>
      <c r="C959">
        <v>14</v>
      </c>
      <c r="D959" t="s">
        <v>12</v>
      </c>
      <c r="E959" t="s">
        <v>45</v>
      </c>
      <c r="F959" t="s">
        <v>62</v>
      </c>
      <c r="G959" s="5">
        <v>45667</v>
      </c>
      <c r="H959" t="str">
        <f t="shared" si="28"/>
        <v>January</v>
      </c>
      <c r="I959" s="5">
        <v>45668</v>
      </c>
      <c r="J959" s="7">
        <f t="shared" si="29"/>
        <v>1</v>
      </c>
      <c r="K959" s="6">
        <v>7856</v>
      </c>
    </row>
    <row r="960" spans="1:11" x14ac:dyDescent="0.3">
      <c r="A960" t="s">
        <v>1137</v>
      </c>
      <c r="B960" t="s">
        <v>409</v>
      </c>
      <c r="C960">
        <v>13</v>
      </c>
      <c r="D960" t="s">
        <v>17</v>
      </c>
      <c r="E960" t="s">
        <v>102</v>
      </c>
      <c r="F960" t="s">
        <v>23</v>
      </c>
      <c r="G960" s="5">
        <v>45821</v>
      </c>
      <c r="H960" t="str">
        <f t="shared" si="28"/>
        <v>June</v>
      </c>
      <c r="I960" s="5">
        <v>45833</v>
      </c>
      <c r="J960" s="7">
        <f t="shared" si="29"/>
        <v>12</v>
      </c>
      <c r="K960" s="6">
        <v>60180</v>
      </c>
    </row>
    <row r="961" spans="1:11" x14ac:dyDescent="0.3">
      <c r="A961" t="s">
        <v>1138</v>
      </c>
      <c r="B961" t="s">
        <v>366</v>
      </c>
      <c r="C961">
        <v>87</v>
      </c>
      <c r="D961" t="s">
        <v>17</v>
      </c>
      <c r="E961" t="s">
        <v>30</v>
      </c>
      <c r="F961" t="s">
        <v>42</v>
      </c>
      <c r="G961" s="5">
        <v>45946</v>
      </c>
      <c r="H961" t="str">
        <f t="shared" si="28"/>
        <v>October</v>
      </c>
      <c r="I961" s="5">
        <v>45948</v>
      </c>
      <c r="J961" s="7">
        <f t="shared" si="29"/>
        <v>2</v>
      </c>
      <c r="K961" s="6">
        <v>16578</v>
      </c>
    </row>
    <row r="962" spans="1:11" x14ac:dyDescent="0.3">
      <c r="A962" t="s">
        <v>1139</v>
      </c>
      <c r="B962" t="s">
        <v>86</v>
      </c>
      <c r="C962">
        <v>77</v>
      </c>
      <c r="D962" t="s">
        <v>17</v>
      </c>
      <c r="E962" t="s">
        <v>22</v>
      </c>
      <c r="F962" t="s">
        <v>34</v>
      </c>
      <c r="G962" s="5">
        <v>45906</v>
      </c>
      <c r="H962" t="str">
        <f t="shared" ref="H962:H1001" si="30">TEXT(G962,"mmmm")</f>
        <v>September</v>
      </c>
      <c r="I962" s="5">
        <v>45910</v>
      </c>
      <c r="J962" s="7">
        <f t="shared" si="29"/>
        <v>4</v>
      </c>
      <c r="K962" s="6">
        <v>37748</v>
      </c>
    </row>
    <row r="963" spans="1:11" x14ac:dyDescent="0.3">
      <c r="A963" t="s">
        <v>1140</v>
      </c>
      <c r="B963" t="s">
        <v>178</v>
      </c>
      <c r="C963">
        <v>5</v>
      </c>
      <c r="D963" t="s">
        <v>17</v>
      </c>
      <c r="E963" t="s">
        <v>13</v>
      </c>
      <c r="F963" t="s">
        <v>59</v>
      </c>
      <c r="G963" s="5">
        <v>45720</v>
      </c>
      <c r="H963" t="str">
        <f t="shared" si="30"/>
        <v>March</v>
      </c>
      <c r="I963" s="5">
        <v>45728</v>
      </c>
      <c r="J963" s="7">
        <f t="shared" ref="J963:J1001" si="31">I963-G963</f>
        <v>8</v>
      </c>
      <c r="K963" s="6">
        <v>92400</v>
      </c>
    </row>
    <row r="964" spans="1:11" x14ac:dyDescent="0.3">
      <c r="A964" t="s">
        <v>1141</v>
      </c>
      <c r="B964" t="s">
        <v>70</v>
      </c>
      <c r="C964">
        <v>63</v>
      </c>
      <c r="D964" t="s">
        <v>12</v>
      </c>
      <c r="E964" t="s">
        <v>102</v>
      </c>
      <c r="F964" t="s">
        <v>42</v>
      </c>
      <c r="G964" s="5">
        <v>45766</v>
      </c>
      <c r="H964" t="str">
        <f t="shared" si="30"/>
        <v>April</v>
      </c>
      <c r="I964" s="5">
        <v>45778</v>
      </c>
      <c r="J964" s="7">
        <f t="shared" si="31"/>
        <v>12</v>
      </c>
      <c r="K964" s="6">
        <v>140124</v>
      </c>
    </row>
    <row r="965" spans="1:11" x14ac:dyDescent="0.3">
      <c r="A965" t="s">
        <v>1142</v>
      </c>
      <c r="B965" t="s">
        <v>151</v>
      </c>
      <c r="C965">
        <v>47</v>
      </c>
      <c r="D965" t="s">
        <v>17</v>
      </c>
      <c r="E965" t="s">
        <v>30</v>
      </c>
      <c r="F965" t="s">
        <v>62</v>
      </c>
      <c r="G965" s="5">
        <v>45749</v>
      </c>
      <c r="H965" t="str">
        <f t="shared" si="30"/>
        <v>April</v>
      </c>
      <c r="I965" s="5">
        <v>45762</v>
      </c>
      <c r="J965" s="7">
        <f t="shared" si="31"/>
        <v>13</v>
      </c>
      <c r="K965" s="6">
        <v>115921</v>
      </c>
    </row>
    <row r="966" spans="1:11" x14ac:dyDescent="0.3">
      <c r="A966" t="s">
        <v>1143</v>
      </c>
      <c r="B966" t="s">
        <v>125</v>
      </c>
      <c r="C966">
        <v>44</v>
      </c>
      <c r="D966" t="s">
        <v>17</v>
      </c>
      <c r="E966" t="s">
        <v>13</v>
      </c>
      <c r="F966" t="s">
        <v>23</v>
      </c>
      <c r="G966" s="5">
        <v>45795</v>
      </c>
      <c r="H966" t="str">
        <f t="shared" si="30"/>
        <v>May</v>
      </c>
      <c r="I966" s="5">
        <v>45799</v>
      </c>
      <c r="J966" s="7">
        <f t="shared" si="31"/>
        <v>4</v>
      </c>
      <c r="K966" s="6">
        <v>28136</v>
      </c>
    </row>
    <row r="967" spans="1:11" x14ac:dyDescent="0.3">
      <c r="A967" t="s">
        <v>1144</v>
      </c>
      <c r="B967" t="s">
        <v>381</v>
      </c>
      <c r="C967">
        <v>55</v>
      </c>
      <c r="D967" t="s">
        <v>12</v>
      </c>
      <c r="E967" t="s">
        <v>39</v>
      </c>
      <c r="F967" t="s">
        <v>42</v>
      </c>
      <c r="G967" s="5">
        <v>45955</v>
      </c>
      <c r="H967" t="str">
        <f t="shared" si="30"/>
        <v>October</v>
      </c>
      <c r="I967" s="5">
        <v>45963</v>
      </c>
      <c r="J967" s="7">
        <f t="shared" si="31"/>
        <v>8</v>
      </c>
      <c r="K967" s="6">
        <v>91976</v>
      </c>
    </row>
    <row r="968" spans="1:11" x14ac:dyDescent="0.3">
      <c r="A968" t="s">
        <v>1145</v>
      </c>
      <c r="B968" t="s">
        <v>431</v>
      </c>
      <c r="C968">
        <v>53</v>
      </c>
      <c r="D968" t="s">
        <v>12</v>
      </c>
      <c r="E968" t="s">
        <v>102</v>
      </c>
      <c r="F968" t="s">
        <v>59</v>
      </c>
      <c r="G968" s="5">
        <v>45970</v>
      </c>
      <c r="H968" t="str">
        <f t="shared" si="30"/>
        <v>November</v>
      </c>
      <c r="I968" s="5">
        <v>45977</v>
      </c>
      <c r="J968" s="7">
        <f t="shared" si="31"/>
        <v>7</v>
      </c>
      <c r="K968" s="6">
        <v>51905</v>
      </c>
    </row>
    <row r="969" spans="1:11" x14ac:dyDescent="0.3">
      <c r="A969" t="s">
        <v>1146</v>
      </c>
      <c r="B969" t="s">
        <v>98</v>
      </c>
      <c r="C969">
        <v>49</v>
      </c>
      <c r="D969" t="s">
        <v>12</v>
      </c>
      <c r="E969" t="s">
        <v>13</v>
      </c>
      <c r="F969" t="s">
        <v>19</v>
      </c>
      <c r="G969" s="5">
        <v>45838</v>
      </c>
      <c r="H969" t="str">
        <f t="shared" si="30"/>
        <v>June</v>
      </c>
      <c r="I969" s="5">
        <v>45849</v>
      </c>
      <c r="J969" s="7">
        <f t="shared" si="31"/>
        <v>11</v>
      </c>
      <c r="K969" s="6">
        <v>87703</v>
      </c>
    </row>
    <row r="970" spans="1:11" x14ac:dyDescent="0.3">
      <c r="A970" t="s">
        <v>1147</v>
      </c>
      <c r="B970" t="s">
        <v>36</v>
      </c>
      <c r="C970">
        <v>84</v>
      </c>
      <c r="D970" t="s">
        <v>12</v>
      </c>
      <c r="E970" t="s">
        <v>18</v>
      </c>
      <c r="F970" t="s">
        <v>34</v>
      </c>
      <c r="G970" s="5">
        <v>45747</v>
      </c>
      <c r="H970" t="str">
        <f t="shared" si="30"/>
        <v>March</v>
      </c>
      <c r="I970" s="5">
        <v>45749</v>
      </c>
      <c r="J970" s="7">
        <f t="shared" si="31"/>
        <v>2</v>
      </c>
      <c r="K970" s="6">
        <v>15070</v>
      </c>
    </row>
    <row r="971" spans="1:11" x14ac:dyDescent="0.3">
      <c r="A971" t="s">
        <v>1148</v>
      </c>
      <c r="B971" t="s">
        <v>93</v>
      </c>
      <c r="C971">
        <v>89</v>
      </c>
      <c r="D971" t="s">
        <v>17</v>
      </c>
      <c r="E971" t="s">
        <v>26</v>
      </c>
      <c r="F971" t="s">
        <v>27</v>
      </c>
      <c r="G971" s="5">
        <v>45982</v>
      </c>
      <c r="H971" t="str">
        <f t="shared" si="30"/>
        <v>November</v>
      </c>
      <c r="I971" s="5">
        <v>45983</v>
      </c>
      <c r="J971" s="7">
        <f t="shared" si="31"/>
        <v>1</v>
      </c>
      <c r="K971" s="6">
        <v>5364</v>
      </c>
    </row>
    <row r="972" spans="1:11" x14ac:dyDescent="0.3">
      <c r="A972" t="s">
        <v>1149</v>
      </c>
      <c r="B972" t="s">
        <v>21</v>
      </c>
      <c r="C972">
        <v>9</v>
      </c>
      <c r="D972" t="s">
        <v>12</v>
      </c>
      <c r="E972" t="s">
        <v>13</v>
      </c>
      <c r="F972" t="s">
        <v>34</v>
      </c>
      <c r="G972" s="5">
        <v>45749</v>
      </c>
      <c r="H972" t="str">
        <f t="shared" si="30"/>
        <v>April</v>
      </c>
      <c r="I972" s="5">
        <v>45764</v>
      </c>
      <c r="J972" s="7">
        <f t="shared" si="31"/>
        <v>15</v>
      </c>
      <c r="K972" s="6">
        <v>90000</v>
      </c>
    </row>
    <row r="973" spans="1:11" x14ac:dyDescent="0.3">
      <c r="A973" t="s">
        <v>1150</v>
      </c>
      <c r="B973" t="s">
        <v>256</v>
      </c>
      <c r="C973">
        <v>18</v>
      </c>
      <c r="D973" t="s">
        <v>17</v>
      </c>
      <c r="E973" t="s">
        <v>18</v>
      </c>
      <c r="F973" t="s">
        <v>34</v>
      </c>
      <c r="G973" s="5">
        <v>45664</v>
      </c>
      <c r="H973" t="str">
        <f t="shared" si="30"/>
        <v>January</v>
      </c>
      <c r="I973" s="5">
        <v>45669</v>
      </c>
      <c r="J973" s="7">
        <f t="shared" si="31"/>
        <v>5</v>
      </c>
      <c r="K973" s="6">
        <v>57800</v>
      </c>
    </row>
    <row r="974" spans="1:11" x14ac:dyDescent="0.3">
      <c r="A974" t="s">
        <v>1151</v>
      </c>
      <c r="B974" t="s">
        <v>84</v>
      </c>
      <c r="C974">
        <v>59</v>
      </c>
      <c r="D974" t="s">
        <v>17</v>
      </c>
      <c r="E974" t="s">
        <v>102</v>
      </c>
      <c r="F974" t="s">
        <v>42</v>
      </c>
      <c r="G974" s="5">
        <v>46002</v>
      </c>
      <c r="H974" t="str">
        <f t="shared" si="30"/>
        <v>December</v>
      </c>
      <c r="I974" s="5">
        <v>46012</v>
      </c>
      <c r="J974" s="7">
        <f t="shared" si="31"/>
        <v>10</v>
      </c>
      <c r="K974" s="6">
        <v>72130</v>
      </c>
    </row>
    <row r="975" spans="1:11" x14ac:dyDescent="0.3">
      <c r="A975" t="s">
        <v>1152</v>
      </c>
      <c r="B975" t="s">
        <v>196</v>
      </c>
      <c r="C975">
        <v>35</v>
      </c>
      <c r="D975" t="s">
        <v>12</v>
      </c>
      <c r="E975" t="s">
        <v>102</v>
      </c>
      <c r="F975" t="s">
        <v>62</v>
      </c>
      <c r="G975" s="5">
        <v>45888</v>
      </c>
      <c r="H975" t="str">
        <f t="shared" si="30"/>
        <v>August</v>
      </c>
      <c r="I975" s="5">
        <v>45893</v>
      </c>
      <c r="J975" s="7">
        <f t="shared" si="31"/>
        <v>5</v>
      </c>
      <c r="K975" s="6">
        <v>53720</v>
      </c>
    </row>
    <row r="976" spans="1:11" x14ac:dyDescent="0.3">
      <c r="A976" t="s">
        <v>1153</v>
      </c>
      <c r="B976" t="s">
        <v>56</v>
      </c>
      <c r="C976">
        <v>41</v>
      </c>
      <c r="D976" t="s">
        <v>17</v>
      </c>
      <c r="E976" t="s">
        <v>102</v>
      </c>
      <c r="F976" t="s">
        <v>14</v>
      </c>
      <c r="G976" s="5">
        <v>45715</v>
      </c>
      <c r="H976" t="str">
        <f t="shared" si="30"/>
        <v>February</v>
      </c>
      <c r="I976" s="5">
        <v>45720</v>
      </c>
      <c r="J976" s="7">
        <f t="shared" si="31"/>
        <v>5</v>
      </c>
      <c r="K976" s="6">
        <v>52260</v>
      </c>
    </row>
    <row r="977" spans="1:11" x14ac:dyDescent="0.3">
      <c r="A977" t="s">
        <v>1154</v>
      </c>
      <c r="B977" t="s">
        <v>171</v>
      </c>
      <c r="C977">
        <v>41</v>
      </c>
      <c r="D977" t="s">
        <v>12</v>
      </c>
      <c r="E977" t="s">
        <v>18</v>
      </c>
      <c r="F977" t="s">
        <v>59</v>
      </c>
      <c r="G977" s="5">
        <v>46009</v>
      </c>
      <c r="H977" t="str">
        <f t="shared" si="30"/>
        <v>December</v>
      </c>
      <c r="I977" s="5">
        <v>46010</v>
      </c>
      <c r="J977" s="7">
        <f t="shared" si="31"/>
        <v>1</v>
      </c>
      <c r="K977" s="6">
        <v>10776</v>
      </c>
    </row>
    <row r="978" spans="1:11" x14ac:dyDescent="0.3">
      <c r="A978" t="s">
        <v>1155</v>
      </c>
      <c r="B978" t="s">
        <v>409</v>
      </c>
      <c r="C978">
        <v>38</v>
      </c>
      <c r="D978" t="s">
        <v>12</v>
      </c>
      <c r="E978" t="s">
        <v>30</v>
      </c>
      <c r="F978" t="s">
        <v>34</v>
      </c>
      <c r="G978" s="5">
        <v>45662</v>
      </c>
      <c r="H978" t="str">
        <f t="shared" si="30"/>
        <v>January</v>
      </c>
      <c r="I978" s="5">
        <v>45675</v>
      </c>
      <c r="J978" s="7">
        <f t="shared" si="31"/>
        <v>13</v>
      </c>
      <c r="K978" s="6">
        <v>115973</v>
      </c>
    </row>
    <row r="979" spans="1:11" x14ac:dyDescent="0.3">
      <c r="A979" t="s">
        <v>1156</v>
      </c>
      <c r="B979" t="s">
        <v>322</v>
      </c>
      <c r="C979">
        <v>65</v>
      </c>
      <c r="D979" t="s">
        <v>12</v>
      </c>
      <c r="E979" t="s">
        <v>30</v>
      </c>
      <c r="F979" t="s">
        <v>19</v>
      </c>
      <c r="G979" s="5">
        <v>46001</v>
      </c>
      <c r="H979" t="str">
        <f t="shared" si="30"/>
        <v>December</v>
      </c>
      <c r="I979" s="5">
        <v>46005</v>
      </c>
      <c r="J979" s="7">
        <f t="shared" si="31"/>
        <v>4</v>
      </c>
      <c r="K979" s="6">
        <v>37116</v>
      </c>
    </row>
    <row r="980" spans="1:11" x14ac:dyDescent="0.3">
      <c r="A980" t="s">
        <v>1157</v>
      </c>
      <c r="B980" t="s">
        <v>361</v>
      </c>
      <c r="C980">
        <v>18</v>
      </c>
      <c r="D980" t="s">
        <v>17</v>
      </c>
      <c r="E980" t="s">
        <v>39</v>
      </c>
      <c r="F980" t="s">
        <v>62</v>
      </c>
      <c r="G980" s="5">
        <v>45865</v>
      </c>
      <c r="H980" t="str">
        <f t="shared" si="30"/>
        <v>July</v>
      </c>
      <c r="I980" s="5">
        <v>45877</v>
      </c>
      <c r="J980" s="7">
        <f t="shared" si="31"/>
        <v>12</v>
      </c>
      <c r="K980" s="6">
        <v>133824</v>
      </c>
    </row>
    <row r="981" spans="1:11" x14ac:dyDescent="0.3">
      <c r="A981" t="s">
        <v>1158</v>
      </c>
      <c r="B981" t="s">
        <v>120</v>
      </c>
      <c r="C981">
        <v>65</v>
      </c>
      <c r="D981" t="s">
        <v>17</v>
      </c>
      <c r="E981" t="s">
        <v>39</v>
      </c>
      <c r="F981" t="s">
        <v>19</v>
      </c>
      <c r="G981" s="5">
        <v>46007</v>
      </c>
      <c r="H981" t="str">
        <f t="shared" si="30"/>
        <v>December</v>
      </c>
      <c r="I981" s="5">
        <v>46022</v>
      </c>
      <c r="J981" s="7">
        <f t="shared" si="31"/>
        <v>15</v>
      </c>
      <c r="K981" s="6">
        <v>149310</v>
      </c>
    </row>
    <row r="982" spans="1:11" x14ac:dyDescent="0.3">
      <c r="A982" t="s">
        <v>1159</v>
      </c>
      <c r="B982" t="s">
        <v>345</v>
      </c>
      <c r="C982">
        <v>24</v>
      </c>
      <c r="D982" t="s">
        <v>17</v>
      </c>
      <c r="E982" t="s">
        <v>33</v>
      </c>
      <c r="F982" t="s">
        <v>23</v>
      </c>
      <c r="G982" s="5">
        <v>45950</v>
      </c>
      <c r="H982" t="str">
        <f t="shared" si="30"/>
        <v>October</v>
      </c>
      <c r="I982" s="5">
        <v>45955</v>
      </c>
      <c r="J982" s="7">
        <f t="shared" si="31"/>
        <v>5</v>
      </c>
      <c r="K982" s="6">
        <v>42950</v>
      </c>
    </row>
    <row r="983" spans="1:11" x14ac:dyDescent="0.3">
      <c r="A983" t="s">
        <v>1160</v>
      </c>
      <c r="B983" t="s">
        <v>139</v>
      </c>
      <c r="C983">
        <v>48</v>
      </c>
      <c r="D983" t="s">
        <v>17</v>
      </c>
      <c r="E983" t="s">
        <v>13</v>
      </c>
      <c r="F983" t="s">
        <v>14</v>
      </c>
      <c r="G983" s="5">
        <v>45796</v>
      </c>
      <c r="H983" t="str">
        <f t="shared" si="30"/>
        <v>May</v>
      </c>
      <c r="I983" s="5">
        <v>45800</v>
      </c>
      <c r="J983" s="7">
        <f t="shared" si="31"/>
        <v>4</v>
      </c>
      <c r="K983" s="6">
        <v>41632</v>
      </c>
    </row>
    <row r="984" spans="1:11" x14ac:dyDescent="0.3">
      <c r="A984" t="s">
        <v>1161</v>
      </c>
      <c r="B984" t="s">
        <v>41</v>
      </c>
      <c r="C984">
        <v>4</v>
      </c>
      <c r="D984" t="s">
        <v>17</v>
      </c>
      <c r="E984" t="s">
        <v>48</v>
      </c>
      <c r="F984" t="s">
        <v>34</v>
      </c>
      <c r="G984" s="5">
        <v>45728</v>
      </c>
      <c r="H984" t="str">
        <f t="shared" si="30"/>
        <v>March</v>
      </c>
      <c r="I984" s="5">
        <v>45735</v>
      </c>
      <c r="J984" s="7">
        <f t="shared" si="31"/>
        <v>7</v>
      </c>
      <c r="K984" s="6">
        <v>70420</v>
      </c>
    </row>
    <row r="985" spans="1:11" x14ac:dyDescent="0.3">
      <c r="A985" t="s">
        <v>1162</v>
      </c>
      <c r="B985" t="s">
        <v>50</v>
      </c>
      <c r="C985">
        <v>18</v>
      </c>
      <c r="D985" t="s">
        <v>12</v>
      </c>
      <c r="E985" t="s">
        <v>102</v>
      </c>
      <c r="F985" t="s">
        <v>34</v>
      </c>
      <c r="G985" s="5">
        <v>45818</v>
      </c>
      <c r="H985" t="str">
        <f t="shared" si="30"/>
        <v>June</v>
      </c>
      <c r="I985" s="5">
        <v>45819</v>
      </c>
      <c r="J985" s="7">
        <f t="shared" si="31"/>
        <v>1</v>
      </c>
      <c r="K985" s="6">
        <v>11338</v>
      </c>
    </row>
    <row r="986" spans="1:11" x14ac:dyDescent="0.3">
      <c r="A986" t="s">
        <v>1163</v>
      </c>
      <c r="B986" t="s">
        <v>61</v>
      </c>
      <c r="C986">
        <v>84</v>
      </c>
      <c r="D986" t="s">
        <v>12</v>
      </c>
      <c r="E986" t="s">
        <v>33</v>
      </c>
      <c r="F986" t="s">
        <v>19</v>
      </c>
      <c r="G986" s="5">
        <v>45806</v>
      </c>
      <c r="H986" t="str">
        <f t="shared" si="30"/>
        <v>May</v>
      </c>
      <c r="I986" s="5">
        <v>45809</v>
      </c>
      <c r="J986" s="7">
        <f t="shared" si="31"/>
        <v>3</v>
      </c>
      <c r="K986" s="6">
        <v>16410</v>
      </c>
    </row>
    <row r="987" spans="1:11" x14ac:dyDescent="0.3">
      <c r="A987" t="s">
        <v>1164</v>
      </c>
      <c r="B987" t="s">
        <v>249</v>
      </c>
      <c r="C987">
        <v>1</v>
      </c>
      <c r="D987" t="s">
        <v>17</v>
      </c>
      <c r="E987" t="s">
        <v>18</v>
      </c>
      <c r="F987" t="s">
        <v>42</v>
      </c>
      <c r="G987" s="5">
        <v>45731</v>
      </c>
      <c r="H987" t="str">
        <f t="shared" si="30"/>
        <v>March</v>
      </c>
      <c r="I987" s="5">
        <v>45734</v>
      </c>
      <c r="J987" s="7">
        <f t="shared" si="31"/>
        <v>3</v>
      </c>
      <c r="K987" s="6">
        <v>23382</v>
      </c>
    </row>
    <row r="988" spans="1:11" x14ac:dyDescent="0.3">
      <c r="A988" t="s">
        <v>1165</v>
      </c>
      <c r="B988" t="s">
        <v>146</v>
      </c>
      <c r="C988">
        <v>44</v>
      </c>
      <c r="D988" t="s">
        <v>12</v>
      </c>
      <c r="E988" t="s">
        <v>102</v>
      </c>
      <c r="F988" t="s">
        <v>19</v>
      </c>
      <c r="G988" s="5">
        <v>45957</v>
      </c>
      <c r="H988" t="str">
        <f t="shared" si="30"/>
        <v>October</v>
      </c>
      <c r="I988" s="5">
        <v>45971</v>
      </c>
      <c r="J988" s="7">
        <f t="shared" si="31"/>
        <v>14</v>
      </c>
      <c r="K988" s="6">
        <v>57722</v>
      </c>
    </row>
    <row r="989" spans="1:11" x14ac:dyDescent="0.3">
      <c r="A989" t="s">
        <v>1166</v>
      </c>
      <c r="B989" t="s">
        <v>54</v>
      </c>
      <c r="C989">
        <v>49</v>
      </c>
      <c r="D989" t="s">
        <v>12</v>
      </c>
      <c r="E989" t="s">
        <v>30</v>
      </c>
      <c r="F989" t="s">
        <v>34</v>
      </c>
      <c r="G989" s="5">
        <v>45732</v>
      </c>
      <c r="H989" t="str">
        <f t="shared" si="30"/>
        <v>March</v>
      </c>
      <c r="I989" s="5">
        <v>45738</v>
      </c>
      <c r="J989" s="7">
        <f t="shared" si="31"/>
        <v>6</v>
      </c>
      <c r="K989" s="6">
        <v>55728</v>
      </c>
    </row>
    <row r="990" spans="1:11" x14ac:dyDescent="0.3">
      <c r="A990" t="s">
        <v>1167</v>
      </c>
      <c r="B990" t="s">
        <v>181</v>
      </c>
      <c r="C990">
        <v>73</v>
      </c>
      <c r="D990" t="s">
        <v>17</v>
      </c>
      <c r="E990" t="s">
        <v>102</v>
      </c>
      <c r="F990" t="s">
        <v>19</v>
      </c>
      <c r="G990" s="5">
        <v>45696</v>
      </c>
      <c r="H990" t="str">
        <f t="shared" si="30"/>
        <v>February</v>
      </c>
      <c r="I990" s="5">
        <v>45704</v>
      </c>
      <c r="J990" s="7">
        <f t="shared" si="31"/>
        <v>8</v>
      </c>
      <c r="K990" s="6">
        <v>65416</v>
      </c>
    </row>
    <row r="991" spans="1:11" x14ac:dyDescent="0.3">
      <c r="A991" t="s">
        <v>1168</v>
      </c>
      <c r="B991" t="s">
        <v>217</v>
      </c>
      <c r="C991">
        <v>44</v>
      </c>
      <c r="D991" t="s">
        <v>12</v>
      </c>
      <c r="E991" t="s">
        <v>22</v>
      </c>
      <c r="F991" t="s">
        <v>62</v>
      </c>
      <c r="G991" s="5">
        <v>46021</v>
      </c>
      <c r="H991" t="str">
        <f t="shared" si="30"/>
        <v>December</v>
      </c>
      <c r="I991" s="5">
        <v>46022</v>
      </c>
      <c r="J991" s="7">
        <f t="shared" si="31"/>
        <v>1</v>
      </c>
      <c r="K991" s="6">
        <v>10213</v>
      </c>
    </row>
    <row r="992" spans="1:11" x14ac:dyDescent="0.3">
      <c r="A992" t="s">
        <v>1169</v>
      </c>
      <c r="B992" t="s">
        <v>104</v>
      </c>
      <c r="C992">
        <v>4</v>
      </c>
      <c r="D992" t="s">
        <v>12</v>
      </c>
      <c r="E992" t="s">
        <v>48</v>
      </c>
      <c r="F992" t="s">
        <v>27</v>
      </c>
      <c r="G992" s="5">
        <v>45938</v>
      </c>
      <c r="H992" t="str">
        <f t="shared" si="30"/>
        <v>October</v>
      </c>
      <c r="I992" s="5">
        <v>45950</v>
      </c>
      <c r="J992" s="7">
        <f t="shared" si="31"/>
        <v>12</v>
      </c>
      <c r="K992" s="6">
        <v>100488</v>
      </c>
    </row>
    <row r="993" spans="1:11" x14ac:dyDescent="0.3">
      <c r="A993" t="s">
        <v>1170</v>
      </c>
      <c r="B993" t="s">
        <v>38</v>
      </c>
      <c r="C993">
        <v>79</v>
      </c>
      <c r="D993" t="s">
        <v>17</v>
      </c>
      <c r="E993" t="s">
        <v>39</v>
      </c>
      <c r="F993" t="s">
        <v>59</v>
      </c>
      <c r="G993" s="5">
        <v>45920</v>
      </c>
      <c r="H993" t="str">
        <f t="shared" si="30"/>
        <v>September</v>
      </c>
      <c r="I993" s="5">
        <v>45934</v>
      </c>
      <c r="J993" s="7">
        <f t="shared" si="31"/>
        <v>14</v>
      </c>
      <c r="K993" s="6">
        <v>90342</v>
      </c>
    </row>
    <row r="994" spans="1:11" x14ac:dyDescent="0.3">
      <c r="A994" t="s">
        <v>1171</v>
      </c>
      <c r="B994" t="s">
        <v>127</v>
      </c>
      <c r="C994">
        <v>30</v>
      </c>
      <c r="D994" t="s">
        <v>12</v>
      </c>
      <c r="E994" t="s">
        <v>39</v>
      </c>
      <c r="F994" t="s">
        <v>14</v>
      </c>
      <c r="G994" s="5">
        <v>45685</v>
      </c>
      <c r="H994" t="str">
        <f t="shared" si="30"/>
        <v>January</v>
      </c>
      <c r="I994" s="5">
        <v>45700</v>
      </c>
      <c r="J994" s="7">
        <f t="shared" si="31"/>
        <v>15</v>
      </c>
      <c r="K994" s="6">
        <v>107160</v>
      </c>
    </row>
    <row r="995" spans="1:11" x14ac:dyDescent="0.3">
      <c r="A995" t="s">
        <v>1172</v>
      </c>
      <c r="B995" t="s">
        <v>238</v>
      </c>
      <c r="C995">
        <v>42</v>
      </c>
      <c r="D995" t="s">
        <v>12</v>
      </c>
      <c r="E995" t="s">
        <v>26</v>
      </c>
      <c r="F995" t="s">
        <v>59</v>
      </c>
      <c r="G995" s="5">
        <v>45723</v>
      </c>
      <c r="H995" t="str">
        <f t="shared" si="30"/>
        <v>March</v>
      </c>
      <c r="I995" s="5">
        <v>45738</v>
      </c>
      <c r="J995" s="7">
        <f t="shared" si="31"/>
        <v>15</v>
      </c>
      <c r="K995" s="6">
        <v>67995</v>
      </c>
    </row>
    <row r="996" spans="1:11" x14ac:dyDescent="0.3">
      <c r="A996" t="s">
        <v>1173</v>
      </c>
      <c r="B996" t="s">
        <v>283</v>
      </c>
      <c r="C996">
        <v>27</v>
      </c>
      <c r="D996" t="s">
        <v>12</v>
      </c>
      <c r="E996" t="s">
        <v>48</v>
      </c>
      <c r="F996" t="s">
        <v>14</v>
      </c>
      <c r="G996" s="5">
        <v>45714</v>
      </c>
      <c r="H996" t="str">
        <f t="shared" si="30"/>
        <v>February</v>
      </c>
      <c r="I996" s="5">
        <v>45719</v>
      </c>
      <c r="J996" s="7">
        <f t="shared" si="31"/>
        <v>5</v>
      </c>
      <c r="K996" s="6">
        <v>48365</v>
      </c>
    </row>
    <row r="997" spans="1:11" x14ac:dyDescent="0.3">
      <c r="A997" t="s">
        <v>1174</v>
      </c>
      <c r="B997" t="s">
        <v>154</v>
      </c>
      <c r="C997">
        <v>10</v>
      </c>
      <c r="D997" t="s">
        <v>17</v>
      </c>
      <c r="E997" t="s">
        <v>45</v>
      </c>
      <c r="F997" t="s">
        <v>19</v>
      </c>
      <c r="G997" s="5">
        <v>45792</v>
      </c>
      <c r="H997" t="str">
        <f t="shared" si="30"/>
        <v>May</v>
      </c>
      <c r="I997" s="5">
        <v>45802</v>
      </c>
      <c r="J997" s="7">
        <f t="shared" si="31"/>
        <v>10</v>
      </c>
      <c r="K997" s="6">
        <v>82890</v>
      </c>
    </row>
    <row r="998" spans="1:11" x14ac:dyDescent="0.3">
      <c r="A998" t="s">
        <v>1175</v>
      </c>
      <c r="B998" t="s">
        <v>690</v>
      </c>
      <c r="C998">
        <v>65</v>
      </c>
      <c r="D998" t="s">
        <v>17</v>
      </c>
      <c r="E998" t="s">
        <v>48</v>
      </c>
      <c r="F998" t="s">
        <v>59</v>
      </c>
      <c r="G998" s="5">
        <v>45829</v>
      </c>
      <c r="H998" t="str">
        <f t="shared" si="30"/>
        <v>June</v>
      </c>
      <c r="I998" s="5">
        <v>45836</v>
      </c>
      <c r="J998" s="7">
        <f t="shared" si="31"/>
        <v>7</v>
      </c>
      <c r="K998" s="6">
        <v>70637</v>
      </c>
    </row>
    <row r="999" spans="1:11" x14ac:dyDescent="0.3">
      <c r="A999" t="s">
        <v>1176</v>
      </c>
      <c r="B999" t="s">
        <v>267</v>
      </c>
      <c r="C999">
        <v>10</v>
      </c>
      <c r="D999" t="s">
        <v>12</v>
      </c>
      <c r="E999" t="s">
        <v>48</v>
      </c>
      <c r="F999" t="s">
        <v>42</v>
      </c>
      <c r="G999" s="5">
        <v>45804</v>
      </c>
      <c r="H999" t="str">
        <f t="shared" si="30"/>
        <v>May</v>
      </c>
      <c r="I999" s="5">
        <v>45817</v>
      </c>
      <c r="J999" s="7">
        <f t="shared" si="31"/>
        <v>13</v>
      </c>
      <c r="K999" s="6">
        <v>123084</v>
      </c>
    </row>
    <row r="1000" spans="1:11" x14ac:dyDescent="0.3">
      <c r="A1000" t="s">
        <v>1177</v>
      </c>
      <c r="B1000" t="s">
        <v>231</v>
      </c>
      <c r="C1000">
        <v>89</v>
      </c>
      <c r="D1000" t="s">
        <v>17</v>
      </c>
      <c r="E1000" t="s">
        <v>13</v>
      </c>
      <c r="F1000" t="s">
        <v>59</v>
      </c>
      <c r="G1000" s="5">
        <v>45741</v>
      </c>
      <c r="H1000" t="str">
        <f t="shared" si="30"/>
        <v>March</v>
      </c>
      <c r="I1000" s="5">
        <v>45752</v>
      </c>
      <c r="J1000" s="7">
        <f t="shared" si="31"/>
        <v>11</v>
      </c>
      <c r="K1000" s="6">
        <v>71687</v>
      </c>
    </row>
    <row r="1001" spans="1:11" x14ac:dyDescent="0.3">
      <c r="A1001" t="s">
        <v>1178</v>
      </c>
      <c r="B1001" t="s">
        <v>118</v>
      </c>
      <c r="C1001">
        <v>40</v>
      </c>
      <c r="D1001" t="s">
        <v>17</v>
      </c>
      <c r="E1001" t="s">
        <v>13</v>
      </c>
      <c r="F1001" t="s">
        <v>27</v>
      </c>
      <c r="G1001" s="5">
        <v>45913</v>
      </c>
      <c r="H1001" t="str">
        <f t="shared" si="30"/>
        <v>September</v>
      </c>
      <c r="I1001" s="5">
        <v>45919</v>
      </c>
      <c r="J1001" s="7">
        <f t="shared" si="31"/>
        <v>6</v>
      </c>
      <c r="K1001" s="6">
        <v>25398</v>
      </c>
    </row>
  </sheetData>
  <conditionalFormatting sqref="C1:C1048576">
    <cfRule type="cellIs" dxfId="3" priority="1" operator="greaterThan">
      <formula>60</formula>
    </cfRule>
  </conditionalFormatting>
  <conditionalFormatting sqref="J1:J1048576">
    <cfRule type="cellIs" dxfId="2" priority="3" operator="greaterThan">
      <formula>7</formula>
    </cfRule>
  </conditionalFormatting>
  <conditionalFormatting sqref="K1:K1048576">
    <cfRule type="cellIs" dxfId="1" priority="4" operator="greaterThan">
      <formula>50000</formula>
    </cfRule>
  </conditionalFormatting>
  <conditionalFormatting sqref="K2:K1001">
    <cfRule type="cellIs" dxfId="0" priority="2" operator="greaterThan">
      <formula>50000</formula>
    </cfRule>
  </conditionalFormatting>
  <dataValidations count="1">
    <dataValidation type="list" allowBlank="1" showInputMessage="1" showErrorMessage="1" sqref="D1:D1048576" xr:uid="{D6C47CD6-1A6E-41C6-8C81-9C739C2B2532}">
      <formula1>"Male, Female"</formula1>
    </dataValidation>
  </dataValidations>
  <pageMargins left="0.7" right="0.7" top="0.75" bottom="0.75" header="0.3" footer="0.3"/>
  <ignoredErrors>
    <ignoredError sqref="F22 F15:F16 F7:F8 D1:F1" listDataValidation="1"/>
  </ignoredErrors>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8A77A48-8EA5-401B-A924-4B603427817C}">
          <x14:formula1>
            <xm:f>Lists!$B$2:$B$11</xm:f>
          </x14:formula1>
          <xm:sqref>E1:E1048576</xm:sqref>
        </x14:dataValidation>
        <x14:dataValidation type="list" allowBlank="1" showInputMessage="1" showErrorMessage="1" xr:uid="{12F9FAA8-588B-42DE-B6D8-C6336038259C}">
          <x14:formula1>
            <xm:f>Lists!$C$2:$C$9</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FDE63-52E3-4FE4-82EA-BFA6CA6ECDAD}">
  <dimension ref="A3:B14"/>
  <sheetViews>
    <sheetView workbookViewId="0">
      <selection activeCell="B8" sqref="B8"/>
    </sheetView>
  </sheetViews>
  <sheetFormatPr defaultRowHeight="14.4" x14ac:dyDescent="0.3"/>
  <cols>
    <col min="1" max="1" width="12.5546875" bestFit="1" customWidth="1"/>
    <col min="2" max="2" width="17.21875" bestFit="1" customWidth="1"/>
  </cols>
  <sheetData>
    <row r="3" spans="1:2" x14ac:dyDescent="0.3">
      <c r="A3" s="8" t="s">
        <v>1183</v>
      </c>
      <c r="B3" t="s">
        <v>1185</v>
      </c>
    </row>
    <row r="4" spans="1:2" x14ac:dyDescent="0.3">
      <c r="A4" s="9" t="s">
        <v>45</v>
      </c>
      <c r="B4" s="29">
        <v>102</v>
      </c>
    </row>
    <row r="5" spans="1:2" x14ac:dyDescent="0.3">
      <c r="A5" s="9" t="s">
        <v>33</v>
      </c>
      <c r="B5" s="29">
        <v>106</v>
      </c>
    </row>
    <row r="6" spans="1:2" x14ac:dyDescent="0.3">
      <c r="A6" s="9" t="s">
        <v>30</v>
      </c>
      <c r="B6" s="29">
        <v>83</v>
      </c>
    </row>
    <row r="7" spans="1:2" x14ac:dyDescent="0.3">
      <c r="A7" s="9" t="s">
        <v>22</v>
      </c>
      <c r="B7" s="29">
        <v>104</v>
      </c>
    </row>
    <row r="8" spans="1:2" x14ac:dyDescent="0.3">
      <c r="A8" s="9" t="s">
        <v>48</v>
      </c>
      <c r="B8" s="29">
        <v>102</v>
      </c>
    </row>
    <row r="9" spans="1:2" x14ac:dyDescent="0.3">
      <c r="A9" s="9" t="s">
        <v>26</v>
      </c>
      <c r="B9" s="29">
        <v>110</v>
      </c>
    </row>
    <row r="10" spans="1:2" x14ac:dyDescent="0.3">
      <c r="A10" s="9" t="s">
        <v>102</v>
      </c>
      <c r="B10" s="29">
        <v>97</v>
      </c>
    </row>
    <row r="11" spans="1:2" x14ac:dyDescent="0.3">
      <c r="A11" s="9" t="s">
        <v>18</v>
      </c>
      <c r="B11" s="29">
        <v>88</v>
      </c>
    </row>
    <row r="12" spans="1:2" x14ac:dyDescent="0.3">
      <c r="A12" s="9" t="s">
        <v>13</v>
      </c>
      <c r="B12" s="29">
        <v>107</v>
      </c>
    </row>
    <row r="13" spans="1:2" x14ac:dyDescent="0.3">
      <c r="A13" s="9" t="s">
        <v>39</v>
      </c>
      <c r="B13" s="29">
        <v>101</v>
      </c>
    </row>
    <row r="14" spans="1:2" x14ac:dyDescent="0.3">
      <c r="A14" s="9" t="s">
        <v>1184</v>
      </c>
      <c r="B14" s="29">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904BE-975C-4ECD-965F-2FCAD0C86275}">
  <dimension ref="A3:B12"/>
  <sheetViews>
    <sheetView workbookViewId="0">
      <selection activeCell="B6" sqref="B6"/>
    </sheetView>
  </sheetViews>
  <sheetFormatPr defaultRowHeight="14.4" x14ac:dyDescent="0.3"/>
  <cols>
    <col min="1" max="1" width="12.5546875" bestFit="1" customWidth="1"/>
    <col min="2" max="2" width="14.77734375" bestFit="1" customWidth="1"/>
  </cols>
  <sheetData>
    <row r="3" spans="1:2" x14ac:dyDescent="0.3">
      <c r="A3" s="8" t="s">
        <v>1183</v>
      </c>
      <c r="B3" t="s">
        <v>1191</v>
      </c>
    </row>
    <row r="4" spans="1:2" x14ac:dyDescent="0.3">
      <c r="A4" s="9" t="s">
        <v>59</v>
      </c>
      <c r="B4" s="6">
        <v>8419154</v>
      </c>
    </row>
    <row r="5" spans="1:2" x14ac:dyDescent="0.3">
      <c r="A5" s="9" t="s">
        <v>42</v>
      </c>
      <c r="B5" s="6">
        <v>6521011</v>
      </c>
    </row>
    <row r="6" spans="1:2" x14ac:dyDescent="0.3">
      <c r="A6" s="9" t="s">
        <v>19</v>
      </c>
      <c r="B6" s="6">
        <v>8859463</v>
      </c>
    </row>
    <row r="7" spans="1:2" x14ac:dyDescent="0.3">
      <c r="A7" s="9" t="s">
        <v>14</v>
      </c>
      <c r="B7" s="6">
        <v>8118079</v>
      </c>
    </row>
    <row r="8" spans="1:2" x14ac:dyDescent="0.3">
      <c r="A8" s="9" t="s">
        <v>23</v>
      </c>
      <c r="B8" s="6">
        <v>8474026</v>
      </c>
    </row>
    <row r="9" spans="1:2" x14ac:dyDescent="0.3">
      <c r="A9" s="9" t="s">
        <v>34</v>
      </c>
      <c r="B9" s="6">
        <v>7894923</v>
      </c>
    </row>
    <row r="10" spans="1:2" x14ac:dyDescent="0.3">
      <c r="A10" s="9" t="s">
        <v>62</v>
      </c>
      <c r="B10" s="6">
        <v>6933121</v>
      </c>
    </row>
    <row r="11" spans="1:2" x14ac:dyDescent="0.3">
      <c r="A11" s="9" t="s">
        <v>27</v>
      </c>
      <c r="B11" s="6">
        <v>8447086</v>
      </c>
    </row>
    <row r="12" spans="1:2" x14ac:dyDescent="0.3">
      <c r="A12" s="9" t="s">
        <v>1184</v>
      </c>
      <c r="B12" s="6">
        <v>63666863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F24FA-43BE-4BE8-B730-7A31013C0421}">
  <dimension ref="A3:B12"/>
  <sheetViews>
    <sheetView workbookViewId="0">
      <selection activeCell="G25" sqref="G25"/>
    </sheetView>
  </sheetViews>
  <sheetFormatPr defaultRowHeight="14.4" x14ac:dyDescent="0.3"/>
  <cols>
    <col min="1" max="1" width="12.5546875" bestFit="1" customWidth="1"/>
    <col min="2" max="2" width="14.77734375" bestFit="1" customWidth="1"/>
  </cols>
  <sheetData>
    <row r="3" spans="1:2" x14ac:dyDescent="0.3">
      <c r="A3" s="8" t="s">
        <v>1183</v>
      </c>
      <c r="B3" t="s">
        <v>1191</v>
      </c>
    </row>
    <row r="4" spans="1:2" x14ac:dyDescent="0.3">
      <c r="A4" s="9" t="s">
        <v>59</v>
      </c>
      <c r="B4" s="6">
        <v>8419154</v>
      </c>
    </row>
    <row r="5" spans="1:2" x14ac:dyDescent="0.3">
      <c r="A5" s="9" t="s">
        <v>42</v>
      </c>
      <c r="B5" s="6">
        <v>6521011</v>
      </c>
    </row>
    <row r="6" spans="1:2" x14ac:dyDescent="0.3">
      <c r="A6" s="9" t="s">
        <v>19</v>
      </c>
      <c r="B6" s="6">
        <v>8859463</v>
      </c>
    </row>
    <row r="7" spans="1:2" x14ac:dyDescent="0.3">
      <c r="A7" s="9" t="s">
        <v>14</v>
      </c>
      <c r="B7" s="6">
        <v>8118079</v>
      </c>
    </row>
    <row r="8" spans="1:2" x14ac:dyDescent="0.3">
      <c r="A8" s="9" t="s">
        <v>23</v>
      </c>
      <c r="B8" s="6">
        <v>8474026</v>
      </c>
    </row>
    <row r="9" spans="1:2" x14ac:dyDescent="0.3">
      <c r="A9" s="9" t="s">
        <v>34</v>
      </c>
      <c r="B9" s="6">
        <v>7894923</v>
      </c>
    </row>
    <row r="10" spans="1:2" x14ac:dyDescent="0.3">
      <c r="A10" s="9" t="s">
        <v>62</v>
      </c>
      <c r="B10" s="6">
        <v>6933121</v>
      </c>
    </row>
    <row r="11" spans="1:2" x14ac:dyDescent="0.3">
      <c r="A11" s="9" t="s">
        <v>27</v>
      </c>
      <c r="B11" s="6">
        <v>8447086</v>
      </c>
    </row>
    <row r="12" spans="1:2" x14ac:dyDescent="0.3">
      <c r="A12" s="9" t="s">
        <v>1184</v>
      </c>
      <c r="B12" s="6">
        <v>63666863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0A104-3C06-4EF7-B85D-2415B05EC1F6}">
  <dimension ref="A3:B6"/>
  <sheetViews>
    <sheetView workbookViewId="0">
      <selection activeCell="B5" sqref="B5"/>
    </sheetView>
  </sheetViews>
  <sheetFormatPr defaultRowHeight="14.4" x14ac:dyDescent="0.3"/>
  <cols>
    <col min="1" max="1" width="12.5546875" bestFit="1" customWidth="1"/>
    <col min="2" max="2" width="17.21875" bestFit="1" customWidth="1"/>
  </cols>
  <sheetData>
    <row r="3" spans="1:2" x14ac:dyDescent="0.3">
      <c r="A3" s="8" t="s">
        <v>1183</v>
      </c>
      <c r="B3" t="s">
        <v>1185</v>
      </c>
    </row>
    <row r="4" spans="1:2" x14ac:dyDescent="0.3">
      <c r="A4" s="9" t="s">
        <v>17</v>
      </c>
      <c r="B4" s="29">
        <v>489</v>
      </c>
    </row>
    <row r="5" spans="1:2" x14ac:dyDescent="0.3">
      <c r="A5" s="9" t="s">
        <v>12</v>
      </c>
      <c r="B5" s="29">
        <v>511</v>
      </c>
    </row>
    <row r="6" spans="1:2" x14ac:dyDescent="0.3">
      <c r="A6" s="9" t="s">
        <v>1184</v>
      </c>
      <c r="B6" s="29">
        <v>1000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1B186-2F39-45D0-9B79-6A919B2FA438}">
  <dimension ref="A3:B16"/>
  <sheetViews>
    <sheetView workbookViewId="0">
      <selection activeCell="J30" sqref="J30"/>
    </sheetView>
  </sheetViews>
  <sheetFormatPr defaultRowHeight="14.4" x14ac:dyDescent="0.3"/>
  <cols>
    <col min="1" max="1" width="12.5546875" bestFit="1" customWidth="1"/>
    <col min="2" max="2" width="17.21875" bestFit="1" customWidth="1"/>
  </cols>
  <sheetData>
    <row r="3" spans="1:2" x14ac:dyDescent="0.3">
      <c r="A3" s="8" t="s">
        <v>1183</v>
      </c>
      <c r="B3" t="s">
        <v>1185</v>
      </c>
    </row>
    <row r="4" spans="1:2" x14ac:dyDescent="0.3">
      <c r="A4" s="9" t="s">
        <v>1199</v>
      </c>
      <c r="B4" s="29">
        <v>92</v>
      </c>
    </row>
    <row r="5" spans="1:2" x14ac:dyDescent="0.3">
      <c r="A5" s="9" t="s">
        <v>1188</v>
      </c>
      <c r="B5" s="29">
        <v>76</v>
      </c>
    </row>
    <row r="6" spans="1:2" x14ac:dyDescent="0.3">
      <c r="A6" s="9" t="s">
        <v>1186</v>
      </c>
      <c r="B6" s="29">
        <v>84</v>
      </c>
    </row>
    <row r="7" spans="1:2" x14ac:dyDescent="0.3">
      <c r="A7" s="9" t="s">
        <v>1187</v>
      </c>
      <c r="B7" s="29">
        <v>89</v>
      </c>
    </row>
    <row r="8" spans="1:2" x14ac:dyDescent="0.3">
      <c r="A8" s="9" t="s">
        <v>1189</v>
      </c>
      <c r="B8" s="29">
        <v>82</v>
      </c>
    </row>
    <row r="9" spans="1:2" x14ac:dyDescent="0.3">
      <c r="A9" s="9" t="s">
        <v>1200</v>
      </c>
      <c r="B9" s="29">
        <v>70</v>
      </c>
    </row>
    <row r="10" spans="1:2" x14ac:dyDescent="0.3">
      <c r="A10" s="9" t="s">
        <v>1201</v>
      </c>
      <c r="B10" s="29">
        <v>86</v>
      </c>
    </row>
    <row r="11" spans="1:2" x14ac:dyDescent="0.3">
      <c r="A11" s="9" t="s">
        <v>1202</v>
      </c>
      <c r="B11" s="29">
        <v>75</v>
      </c>
    </row>
    <row r="12" spans="1:2" x14ac:dyDescent="0.3">
      <c r="A12" s="9" t="s">
        <v>1203</v>
      </c>
      <c r="B12" s="29">
        <v>95</v>
      </c>
    </row>
    <row r="13" spans="1:2" x14ac:dyDescent="0.3">
      <c r="A13" s="9" t="s">
        <v>1204</v>
      </c>
      <c r="B13" s="29">
        <v>82</v>
      </c>
    </row>
    <row r="14" spans="1:2" x14ac:dyDescent="0.3">
      <c r="A14" s="9" t="s">
        <v>1190</v>
      </c>
      <c r="B14" s="29">
        <v>79</v>
      </c>
    </row>
    <row r="15" spans="1:2" x14ac:dyDescent="0.3">
      <c r="A15" s="9" t="s">
        <v>1205</v>
      </c>
      <c r="B15" s="29">
        <v>90</v>
      </c>
    </row>
    <row r="16" spans="1:2" x14ac:dyDescent="0.3">
      <c r="A16" s="9" t="s">
        <v>1184</v>
      </c>
      <c r="B16" s="29">
        <v>1000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0242E-C43E-4662-8DE9-76AEAE68E3F5}">
  <dimension ref="B1:L85"/>
  <sheetViews>
    <sheetView tabSelected="1" zoomScaleNormal="100" workbookViewId="0">
      <selection activeCell="M11" sqref="M11"/>
    </sheetView>
  </sheetViews>
  <sheetFormatPr defaultRowHeight="14.4" x14ac:dyDescent="0.3"/>
  <cols>
    <col min="2" max="2" width="16.5546875" bestFit="1" customWidth="1"/>
    <col min="3" max="3" width="16.88671875" bestFit="1" customWidth="1"/>
    <col min="4" max="4" width="15.6640625" bestFit="1" customWidth="1"/>
    <col min="5" max="5" width="15.21875" bestFit="1" customWidth="1"/>
    <col min="6" max="6" width="17.5546875" bestFit="1" customWidth="1"/>
    <col min="7" max="7" width="15.21875" bestFit="1" customWidth="1"/>
  </cols>
  <sheetData>
    <row r="1" spans="2:7" x14ac:dyDescent="0.3">
      <c r="B1" s="20" t="s">
        <v>1197</v>
      </c>
      <c r="C1" s="21"/>
      <c r="D1" s="21"/>
      <c r="E1" s="21"/>
      <c r="F1" s="21"/>
      <c r="G1" s="22"/>
    </row>
    <row r="2" spans="2:7" ht="14.4" customHeight="1" x14ac:dyDescent="0.3">
      <c r="B2" s="23"/>
      <c r="C2" s="24"/>
      <c r="D2" s="24"/>
      <c r="E2" s="24"/>
      <c r="F2" s="24"/>
      <c r="G2" s="25"/>
    </row>
    <row r="3" spans="2:7" ht="15" thickBot="1" x14ac:dyDescent="0.35">
      <c r="B3" s="26"/>
      <c r="C3" s="27"/>
      <c r="D3" s="27"/>
      <c r="E3" s="27"/>
      <c r="F3" s="27"/>
      <c r="G3" s="28"/>
    </row>
    <row r="4" spans="2:7" ht="18" thickBot="1" x14ac:dyDescent="0.35">
      <c r="B4" s="17" t="s">
        <v>1192</v>
      </c>
      <c r="C4" s="17" t="s">
        <v>1193</v>
      </c>
      <c r="D4" s="17" t="s">
        <v>1194</v>
      </c>
      <c r="E4" s="17" t="s">
        <v>1206</v>
      </c>
      <c r="F4" s="17" t="s">
        <v>1195</v>
      </c>
      <c r="G4" s="17" t="s">
        <v>1196</v>
      </c>
    </row>
    <row r="5" spans="2:7" ht="19.2" thickBot="1" x14ac:dyDescent="0.35">
      <c r="B5" s="19">
        <f>COUNTA(Hospital[Patient ID])</f>
        <v>1000</v>
      </c>
      <c r="C5" s="19">
        <f>SUM(Hospital[Bill])</f>
        <v>63666863</v>
      </c>
      <c r="D5" s="19">
        <f>AVERAGE(Hospital[Stay Days])</f>
        <v>7.9089999999999998</v>
      </c>
      <c r="E5" s="18">
        <f>AVERAGE(Hospital[Bill])</f>
        <v>63666.862999999998</v>
      </c>
      <c r="F5" s="18">
        <f>MAX(Hospital[Bill])</f>
        <v>179370</v>
      </c>
      <c r="G5" s="18">
        <f>MIN(Hospital[Bill])</f>
        <v>4027</v>
      </c>
    </row>
    <row r="6" spans="2:7" x14ac:dyDescent="0.3">
      <c r="B6" s="12"/>
      <c r="C6" s="10"/>
      <c r="G6" s="13"/>
    </row>
    <row r="7" spans="2:7" x14ac:dyDescent="0.3">
      <c r="B7" s="12"/>
      <c r="C7" s="11"/>
      <c r="G7" s="13"/>
    </row>
    <row r="8" spans="2:7" x14ac:dyDescent="0.3">
      <c r="B8" s="12"/>
      <c r="G8" s="13"/>
    </row>
    <row r="9" spans="2:7" x14ac:dyDescent="0.3">
      <c r="B9" s="12"/>
      <c r="G9" s="13"/>
    </row>
    <row r="10" spans="2:7" x14ac:dyDescent="0.3">
      <c r="B10" s="12"/>
      <c r="G10" s="13"/>
    </row>
    <row r="11" spans="2:7" x14ac:dyDescent="0.3">
      <c r="B11" s="12"/>
      <c r="G11" s="13"/>
    </row>
    <row r="12" spans="2:7" x14ac:dyDescent="0.3">
      <c r="B12" s="12"/>
      <c r="G12" s="13"/>
    </row>
    <row r="13" spans="2:7" x14ac:dyDescent="0.3">
      <c r="B13" s="12"/>
      <c r="G13" s="13"/>
    </row>
    <row r="14" spans="2:7" x14ac:dyDescent="0.3">
      <c r="B14" s="12"/>
      <c r="G14" s="13"/>
    </row>
    <row r="15" spans="2:7" x14ac:dyDescent="0.3">
      <c r="B15" s="12"/>
      <c r="G15" s="13"/>
    </row>
    <row r="16" spans="2:7" x14ac:dyDescent="0.3">
      <c r="B16" s="12"/>
      <c r="G16" s="13"/>
    </row>
    <row r="17" spans="2:7" x14ac:dyDescent="0.3">
      <c r="B17" s="12"/>
      <c r="G17" s="13"/>
    </row>
    <row r="18" spans="2:7" x14ac:dyDescent="0.3">
      <c r="B18" s="12"/>
      <c r="G18" s="13"/>
    </row>
    <row r="19" spans="2:7" x14ac:dyDescent="0.3">
      <c r="B19" s="12"/>
      <c r="G19" s="13"/>
    </row>
    <row r="20" spans="2:7" x14ac:dyDescent="0.3">
      <c r="B20" s="12"/>
      <c r="G20" s="13"/>
    </row>
    <row r="21" spans="2:7" x14ac:dyDescent="0.3">
      <c r="B21" s="12"/>
      <c r="G21" s="13"/>
    </row>
    <row r="22" spans="2:7" x14ac:dyDescent="0.3">
      <c r="B22" s="12"/>
      <c r="G22" s="13"/>
    </row>
    <row r="23" spans="2:7" x14ac:dyDescent="0.3">
      <c r="B23" s="12"/>
      <c r="G23" s="13"/>
    </row>
    <row r="24" spans="2:7" x14ac:dyDescent="0.3">
      <c r="B24" s="12"/>
      <c r="G24" s="13"/>
    </row>
    <row r="25" spans="2:7" x14ac:dyDescent="0.3">
      <c r="B25" s="12"/>
      <c r="G25" s="13"/>
    </row>
    <row r="26" spans="2:7" x14ac:dyDescent="0.3">
      <c r="B26" s="12"/>
      <c r="G26" s="13"/>
    </row>
    <row r="27" spans="2:7" x14ac:dyDescent="0.3">
      <c r="B27" s="12"/>
      <c r="G27" s="13"/>
    </row>
    <row r="28" spans="2:7" x14ac:dyDescent="0.3">
      <c r="B28" s="12"/>
      <c r="G28" s="13"/>
    </row>
    <row r="29" spans="2:7" x14ac:dyDescent="0.3">
      <c r="B29" s="12"/>
      <c r="G29" s="13"/>
    </row>
    <row r="30" spans="2:7" x14ac:dyDescent="0.3">
      <c r="B30" s="12"/>
      <c r="G30" s="13"/>
    </row>
    <row r="31" spans="2:7" x14ac:dyDescent="0.3">
      <c r="B31" s="12"/>
      <c r="G31" s="13"/>
    </row>
    <row r="32" spans="2:7" x14ac:dyDescent="0.3">
      <c r="B32" s="12"/>
      <c r="G32" s="13"/>
    </row>
    <row r="33" spans="2:12" x14ac:dyDescent="0.3">
      <c r="B33" s="12"/>
      <c r="G33" s="13"/>
    </row>
    <row r="34" spans="2:12" x14ac:dyDescent="0.3">
      <c r="B34" s="12"/>
      <c r="G34" s="13"/>
    </row>
    <row r="35" spans="2:12" x14ac:dyDescent="0.3">
      <c r="B35" s="12"/>
      <c r="G35" s="13"/>
    </row>
    <row r="36" spans="2:12" x14ac:dyDescent="0.3">
      <c r="B36" s="12"/>
      <c r="G36" s="13"/>
    </row>
    <row r="37" spans="2:12" x14ac:dyDescent="0.3">
      <c r="B37" s="12"/>
      <c r="G37" s="13"/>
    </row>
    <row r="38" spans="2:12" x14ac:dyDescent="0.3">
      <c r="B38" s="12"/>
      <c r="G38" s="13"/>
    </row>
    <row r="39" spans="2:12" x14ac:dyDescent="0.3">
      <c r="B39" s="12"/>
      <c r="G39" s="13"/>
    </row>
    <row r="40" spans="2:12" x14ac:dyDescent="0.3">
      <c r="B40" s="12"/>
      <c r="G40" s="13"/>
    </row>
    <row r="41" spans="2:12" x14ac:dyDescent="0.3">
      <c r="B41" s="12"/>
      <c r="G41" s="13"/>
    </row>
    <row r="42" spans="2:12" x14ac:dyDescent="0.3">
      <c r="B42" s="12"/>
      <c r="G42" s="13"/>
    </row>
    <row r="43" spans="2:12" x14ac:dyDescent="0.3">
      <c r="B43" s="12"/>
      <c r="G43" s="13"/>
    </row>
    <row r="44" spans="2:12" x14ac:dyDescent="0.3">
      <c r="B44" s="12"/>
      <c r="G44" s="13"/>
    </row>
    <row r="45" spans="2:12" x14ac:dyDescent="0.3">
      <c r="B45" s="12"/>
      <c r="G45" s="13"/>
    </row>
    <row r="46" spans="2:12" x14ac:dyDescent="0.3">
      <c r="B46" s="12"/>
      <c r="G46" s="13"/>
    </row>
    <row r="47" spans="2:12" x14ac:dyDescent="0.3">
      <c r="B47" s="12"/>
      <c r="G47" s="13"/>
    </row>
    <row r="48" spans="2:12" x14ac:dyDescent="0.3">
      <c r="B48" s="12"/>
      <c r="G48" s="13"/>
      <c r="L48" t="s">
        <v>1198</v>
      </c>
    </row>
    <row r="49" spans="2:7" x14ac:dyDescent="0.3">
      <c r="B49" s="12"/>
      <c r="G49" s="13"/>
    </row>
    <row r="50" spans="2:7" x14ac:dyDescent="0.3">
      <c r="B50" s="12"/>
      <c r="G50" s="13"/>
    </row>
    <row r="51" spans="2:7" x14ac:dyDescent="0.3">
      <c r="B51" s="12"/>
      <c r="G51" s="13"/>
    </row>
    <row r="52" spans="2:7" x14ac:dyDescent="0.3">
      <c r="B52" s="12"/>
      <c r="G52" s="13"/>
    </row>
    <row r="53" spans="2:7" x14ac:dyDescent="0.3">
      <c r="B53" s="12"/>
      <c r="G53" s="13"/>
    </row>
    <row r="54" spans="2:7" x14ac:dyDescent="0.3">
      <c r="B54" s="12"/>
      <c r="G54" s="13"/>
    </row>
    <row r="55" spans="2:7" x14ac:dyDescent="0.3">
      <c r="B55" s="12"/>
      <c r="G55" s="13"/>
    </row>
    <row r="56" spans="2:7" x14ac:dyDescent="0.3">
      <c r="B56" s="12"/>
      <c r="G56" s="13"/>
    </row>
    <row r="57" spans="2:7" x14ac:dyDescent="0.3">
      <c r="B57" s="12"/>
      <c r="G57" s="13"/>
    </row>
    <row r="58" spans="2:7" x14ac:dyDescent="0.3">
      <c r="B58" s="12"/>
      <c r="G58" s="13"/>
    </row>
    <row r="59" spans="2:7" x14ac:dyDescent="0.3">
      <c r="B59" s="12"/>
      <c r="G59" s="13"/>
    </row>
    <row r="60" spans="2:7" x14ac:dyDescent="0.3">
      <c r="B60" s="12"/>
      <c r="G60" s="13"/>
    </row>
    <row r="61" spans="2:7" x14ac:dyDescent="0.3">
      <c r="B61" s="12"/>
      <c r="G61" s="13"/>
    </row>
    <row r="62" spans="2:7" x14ac:dyDescent="0.3">
      <c r="B62" s="12"/>
      <c r="G62" s="13"/>
    </row>
    <row r="63" spans="2:7" x14ac:dyDescent="0.3">
      <c r="B63" s="12"/>
      <c r="G63" s="13"/>
    </row>
    <row r="64" spans="2:7" x14ac:dyDescent="0.3">
      <c r="B64" s="12"/>
      <c r="G64" s="13"/>
    </row>
    <row r="65" spans="2:7" x14ac:dyDescent="0.3">
      <c r="B65" s="12"/>
      <c r="G65" s="13"/>
    </row>
    <row r="66" spans="2:7" x14ac:dyDescent="0.3">
      <c r="B66" s="12"/>
      <c r="G66" s="13"/>
    </row>
    <row r="67" spans="2:7" x14ac:dyDescent="0.3">
      <c r="B67" s="12"/>
      <c r="G67" s="13"/>
    </row>
    <row r="68" spans="2:7" x14ac:dyDescent="0.3">
      <c r="B68" s="12"/>
      <c r="G68" s="13"/>
    </row>
    <row r="69" spans="2:7" x14ac:dyDescent="0.3">
      <c r="B69" s="12"/>
      <c r="G69" s="13"/>
    </row>
    <row r="70" spans="2:7" x14ac:dyDescent="0.3">
      <c r="B70" s="12"/>
      <c r="G70" s="13"/>
    </row>
    <row r="71" spans="2:7" x14ac:dyDescent="0.3">
      <c r="B71" s="12"/>
      <c r="G71" s="13"/>
    </row>
    <row r="72" spans="2:7" x14ac:dyDescent="0.3">
      <c r="B72" s="12"/>
      <c r="G72" s="13"/>
    </row>
    <row r="73" spans="2:7" x14ac:dyDescent="0.3">
      <c r="B73" s="12"/>
      <c r="G73" s="13"/>
    </row>
    <row r="74" spans="2:7" x14ac:dyDescent="0.3">
      <c r="B74" s="12"/>
      <c r="G74" s="13"/>
    </row>
    <row r="75" spans="2:7" x14ac:dyDescent="0.3">
      <c r="B75" s="12"/>
      <c r="G75" s="13"/>
    </row>
    <row r="76" spans="2:7" x14ac:dyDescent="0.3">
      <c r="B76" s="12"/>
      <c r="G76" s="13"/>
    </row>
    <row r="77" spans="2:7" x14ac:dyDescent="0.3">
      <c r="B77" s="12"/>
      <c r="G77" s="13"/>
    </row>
    <row r="78" spans="2:7" x14ac:dyDescent="0.3">
      <c r="B78" s="12"/>
      <c r="G78" s="13"/>
    </row>
    <row r="79" spans="2:7" x14ac:dyDescent="0.3">
      <c r="B79" s="12"/>
      <c r="G79" s="13"/>
    </row>
    <row r="80" spans="2:7" x14ac:dyDescent="0.3">
      <c r="B80" s="12"/>
      <c r="G80" s="13"/>
    </row>
    <row r="81" spans="2:7" x14ac:dyDescent="0.3">
      <c r="B81" s="12"/>
      <c r="G81" s="13"/>
    </row>
    <row r="82" spans="2:7" x14ac:dyDescent="0.3">
      <c r="B82" s="12"/>
      <c r="G82" s="13"/>
    </row>
    <row r="83" spans="2:7" x14ac:dyDescent="0.3">
      <c r="B83" s="12"/>
      <c r="G83" s="13"/>
    </row>
    <row r="84" spans="2:7" x14ac:dyDescent="0.3">
      <c r="B84" s="12"/>
      <c r="G84" s="13"/>
    </row>
    <row r="85" spans="2:7" x14ac:dyDescent="0.3">
      <c r="B85" s="14"/>
      <c r="C85" s="15"/>
      <c r="D85" s="15"/>
      <c r="E85" s="15"/>
      <c r="F85" s="15"/>
      <c r="G85" s="16"/>
    </row>
  </sheetData>
  <mergeCells count="1">
    <mergeCell ref="B1:G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Hospital_Data</vt:lpstr>
      <vt:lpstr>Lists</vt:lpstr>
      <vt:lpstr>Hospital_Datasheet</vt:lpstr>
      <vt:lpstr>Disease Analysis</vt:lpstr>
      <vt:lpstr>Doctor-wise Patients</vt:lpstr>
      <vt:lpstr>Revenue By Doctor</vt:lpstr>
      <vt:lpstr>Gender Distribution</vt:lpstr>
      <vt:lpstr>Monthly Admissions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Sashank Rana</cp:lastModifiedBy>
  <dcterms:created xsi:type="dcterms:W3CDTF">2026-06-29T05:16:48Z</dcterms:created>
  <dcterms:modified xsi:type="dcterms:W3CDTF">2026-06-29T08:12:04Z</dcterms:modified>
</cp:coreProperties>
</file>